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2c4f9df1373350/Documentos/Camile/Pessoal/Projetos/"/>
    </mc:Choice>
  </mc:AlternateContent>
  <xr:revisionPtr revIDLastSave="14" documentId="8_{EB00EC9E-8355-41D5-88FE-C3BF5C5BEE1F}" xr6:coauthVersionLast="47" xr6:coauthVersionMax="47" xr10:uidLastSave="{252F6C0F-26E0-4584-BDDE-FA2328F92DD2}"/>
  <bookViews>
    <workbookView xWindow="-110" yWindow="-110" windowWidth="19420" windowHeight="11020" activeTab="1" xr2:uid="{2D6A9B7A-8E53-4472-96F5-F431304800D1}"/>
  </bookViews>
  <sheets>
    <sheet name="Dinâmica" sheetId="2" r:id="rId1"/>
    <sheet name="Gráficos" sheetId="3" r:id="rId2"/>
    <sheet name="Base" sheetId="7" r:id="rId3"/>
    <sheet name="Indicadores" sheetId="5" r:id="rId4"/>
  </sheets>
  <definedNames>
    <definedName name="SegmentaçãodeDados_Filial">#N/A</definedName>
    <definedName name="SegmentaçãodeDados_Tipo_de_serviço">#N/A</definedName>
  </definedNames>
  <calcPr calcId="191029"/>
  <pivotCaches>
    <pivotCache cacheId="1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9" i="7" l="1"/>
  <c r="M49" i="7"/>
  <c r="L49" i="7"/>
  <c r="J49" i="7"/>
  <c r="K49" i="7" s="1"/>
  <c r="N48" i="7"/>
  <c r="M48" i="7"/>
  <c r="L48" i="7"/>
  <c r="J48" i="7"/>
  <c r="K48" i="7" s="1"/>
  <c r="N47" i="7"/>
  <c r="M47" i="7"/>
  <c r="L47" i="7"/>
  <c r="J47" i="7"/>
  <c r="K47" i="7" s="1"/>
  <c r="N46" i="7"/>
  <c r="M46" i="7"/>
  <c r="L46" i="7"/>
  <c r="J46" i="7"/>
  <c r="K46" i="7" s="1"/>
  <c r="N45" i="7"/>
  <c r="M45" i="7"/>
  <c r="L45" i="7"/>
  <c r="K45" i="7"/>
  <c r="J45" i="7"/>
  <c r="N44" i="7"/>
  <c r="M44" i="7"/>
  <c r="L44" i="7"/>
  <c r="J44" i="7"/>
  <c r="K44" i="7" s="1"/>
  <c r="N43" i="7"/>
  <c r="M43" i="7"/>
  <c r="L43" i="7"/>
  <c r="J43" i="7"/>
  <c r="K43" i="7" s="1"/>
  <c r="N42" i="7"/>
  <c r="M42" i="7"/>
  <c r="L42" i="7"/>
  <c r="J42" i="7"/>
  <c r="K42" i="7" s="1"/>
  <c r="N41" i="7"/>
  <c r="M41" i="7"/>
  <c r="L41" i="7"/>
  <c r="J41" i="7"/>
  <c r="K41" i="7" s="1"/>
  <c r="N40" i="7"/>
  <c r="M40" i="7"/>
  <c r="L40" i="7"/>
  <c r="K40" i="7"/>
  <c r="J40" i="7"/>
  <c r="N39" i="7"/>
  <c r="M39" i="7"/>
  <c r="L39" i="7"/>
  <c r="J39" i="7"/>
  <c r="K39" i="7" s="1"/>
  <c r="N38" i="7"/>
  <c r="M38" i="7"/>
  <c r="L38" i="7"/>
  <c r="J38" i="7"/>
  <c r="K38" i="7" s="1"/>
  <c r="N37" i="7"/>
  <c r="M37" i="7"/>
  <c r="L37" i="7"/>
  <c r="J37" i="7"/>
  <c r="K37" i="7" s="1"/>
  <c r="N36" i="7"/>
  <c r="M36" i="7"/>
  <c r="L36" i="7"/>
  <c r="J36" i="7"/>
  <c r="K36" i="7" s="1"/>
  <c r="N35" i="7"/>
  <c r="M35" i="7"/>
  <c r="L35" i="7"/>
  <c r="J35" i="7"/>
  <c r="K35" i="7" s="1"/>
  <c r="N34" i="7"/>
  <c r="M34" i="7"/>
  <c r="L34" i="7"/>
  <c r="J34" i="7"/>
  <c r="K34" i="7" s="1"/>
  <c r="N33" i="7"/>
  <c r="M33" i="7"/>
  <c r="L33" i="7"/>
  <c r="K33" i="7"/>
  <c r="J33" i="7"/>
  <c r="N32" i="7"/>
  <c r="M32" i="7"/>
  <c r="L32" i="7"/>
  <c r="J32" i="7"/>
  <c r="K32" i="7" s="1"/>
  <c r="N31" i="7"/>
  <c r="M31" i="7"/>
  <c r="L31" i="7"/>
  <c r="J31" i="7"/>
  <c r="K31" i="7" s="1"/>
  <c r="N30" i="7"/>
  <c r="M30" i="7"/>
  <c r="L30" i="7"/>
  <c r="J30" i="7"/>
  <c r="K30" i="7" s="1"/>
  <c r="N29" i="7"/>
  <c r="M29" i="7"/>
  <c r="L29" i="7"/>
  <c r="J29" i="7"/>
  <c r="K29" i="7" s="1"/>
  <c r="N28" i="7"/>
  <c r="M28" i="7"/>
  <c r="L28" i="7"/>
  <c r="K28" i="7"/>
  <c r="J28" i="7"/>
  <c r="N27" i="7"/>
  <c r="M27" i="7"/>
  <c r="L27" i="7"/>
  <c r="J27" i="7"/>
  <c r="K27" i="7" s="1"/>
  <c r="N26" i="7"/>
  <c r="M26" i="7"/>
  <c r="L26" i="7"/>
  <c r="J26" i="7"/>
  <c r="K26" i="7" s="1"/>
  <c r="N25" i="7"/>
  <c r="M25" i="7"/>
  <c r="L25" i="7"/>
  <c r="J25" i="7"/>
  <c r="K25" i="7" s="1"/>
  <c r="N24" i="7"/>
  <c r="M24" i="7"/>
  <c r="L24" i="7"/>
  <c r="J24" i="7"/>
  <c r="K24" i="7" s="1"/>
  <c r="N23" i="7"/>
  <c r="M23" i="7"/>
  <c r="L23" i="7"/>
  <c r="J23" i="7"/>
  <c r="K23" i="7" s="1"/>
  <c r="N22" i="7"/>
  <c r="M22" i="7"/>
  <c r="L22" i="7"/>
  <c r="J22" i="7"/>
  <c r="K22" i="7" s="1"/>
  <c r="N21" i="7"/>
  <c r="M21" i="7"/>
  <c r="L21" i="7"/>
  <c r="K21" i="7"/>
  <c r="J21" i="7"/>
  <c r="N20" i="7"/>
  <c r="M20" i="7"/>
  <c r="L20" i="7"/>
  <c r="J20" i="7"/>
  <c r="K20" i="7" s="1"/>
  <c r="N19" i="7"/>
  <c r="M19" i="7"/>
  <c r="L19" i="7"/>
  <c r="J19" i="7"/>
  <c r="K19" i="7" s="1"/>
  <c r="N18" i="7"/>
  <c r="M18" i="7"/>
  <c r="L18" i="7"/>
  <c r="J18" i="7"/>
  <c r="K18" i="7" s="1"/>
  <c r="N17" i="7"/>
  <c r="M17" i="7"/>
  <c r="L17" i="7"/>
  <c r="J17" i="7"/>
  <c r="K17" i="7" s="1"/>
  <c r="N16" i="7"/>
  <c r="M16" i="7"/>
  <c r="L16" i="7"/>
  <c r="K16" i="7"/>
  <c r="J16" i="7"/>
  <c r="N15" i="7"/>
  <c r="M15" i="7"/>
  <c r="L15" i="7"/>
  <c r="J15" i="7"/>
  <c r="K15" i="7" s="1"/>
  <c r="N14" i="7"/>
  <c r="M14" i="7"/>
  <c r="L14" i="7"/>
  <c r="J14" i="7"/>
  <c r="K14" i="7" s="1"/>
  <c r="N13" i="7"/>
  <c r="M13" i="7"/>
  <c r="L13" i="7"/>
  <c r="J13" i="7"/>
  <c r="K13" i="7" s="1"/>
  <c r="N12" i="7"/>
  <c r="M12" i="7"/>
  <c r="L12" i="7"/>
  <c r="J12" i="7"/>
  <c r="K12" i="7" s="1"/>
  <c r="N11" i="7"/>
  <c r="M11" i="7"/>
  <c r="L11" i="7"/>
  <c r="K11" i="7"/>
  <c r="J11" i="7"/>
  <c r="N10" i="7"/>
  <c r="M10" i="7"/>
  <c r="L10" i="7"/>
  <c r="J10" i="7"/>
  <c r="K10" i="7" s="1"/>
  <c r="N9" i="7"/>
  <c r="M9" i="7"/>
  <c r="L9" i="7"/>
  <c r="K9" i="7"/>
  <c r="J9" i="7"/>
  <c r="N8" i="7"/>
  <c r="M8" i="7"/>
  <c r="L8" i="7"/>
  <c r="J8" i="7"/>
  <c r="K8" i="7" s="1"/>
  <c r="N7" i="7"/>
  <c r="M7" i="7"/>
  <c r="L7" i="7"/>
  <c r="J7" i="7"/>
  <c r="K7" i="7" s="1"/>
  <c r="N6" i="7"/>
  <c r="M6" i="7"/>
  <c r="L6" i="7"/>
  <c r="J6" i="7"/>
  <c r="K6" i="7" s="1"/>
  <c r="N5" i="7"/>
  <c r="M5" i="7"/>
  <c r="L5" i="7"/>
  <c r="J5" i="7"/>
  <c r="K5" i="7" s="1"/>
  <c r="N4" i="7"/>
  <c r="M4" i="7"/>
  <c r="L4" i="7"/>
  <c r="K4" i="7"/>
  <c r="J4" i="7"/>
  <c r="N3" i="7"/>
  <c r="M3" i="7"/>
  <c r="L3" i="7"/>
  <c r="J3" i="7"/>
  <c r="K3" i="7" s="1"/>
  <c r="N2" i="7"/>
  <c r="M2" i="7"/>
  <c r="L2" i="7"/>
  <c r="J2" i="7"/>
  <c r="K2" i="7" s="1"/>
  <c r="A11" i="5"/>
  <c r="A10" i="5"/>
  <c r="A13" i="5"/>
  <c r="A14" i="5"/>
  <c r="A12" i="5"/>
  <c r="B9" i="5"/>
  <c r="B8" i="5"/>
</calcChain>
</file>

<file path=xl/sharedStrings.xml><?xml version="1.0" encoding="utf-8"?>
<sst xmlns="http://schemas.openxmlformats.org/spreadsheetml/2006/main" count="217" uniqueCount="61">
  <si>
    <t>Data</t>
  </si>
  <si>
    <t>Mês</t>
  </si>
  <si>
    <t>Janeiro</t>
  </si>
  <si>
    <t>Filial</t>
  </si>
  <si>
    <t>São Paulo</t>
  </si>
  <si>
    <t>Tipo de serviço</t>
  </si>
  <si>
    <t>Manutenção preventiva</t>
  </si>
  <si>
    <t>Faturamento</t>
  </si>
  <si>
    <t>Custo</t>
  </si>
  <si>
    <t>Meta de faturamento</t>
  </si>
  <si>
    <t>Quantidade de serviços</t>
  </si>
  <si>
    <t>Resultado</t>
  </si>
  <si>
    <t>Margem</t>
  </si>
  <si>
    <t>Atingimento da meta</t>
  </si>
  <si>
    <t>Ticket médio</t>
  </si>
  <si>
    <t>Custo médio por serviço</t>
  </si>
  <si>
    <t>Prazo médio (dias)</t>
  </si>
  <si>
    <t>Rio de Janeiro</t>
  </si>
  <si>
    <t>Manutenção corretiva</t>
  </si>
  <si>
    <t>Belo Horizonte</t>
  </si>
  <si>
    <t>Inspeção técnica</t>
  </si>
  <si>
    <t>Salvador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</si>
  <si>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</si>
  <si>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</si>
  <si>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</si>
  <si>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</si>
  <si>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</si>
  <si>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</si>
  <si>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</si>
  <si>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</si>
  <si>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</si>
  <si>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</si>
  <si>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</si>
  <si>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Rótulos de Linha</t>
  </si>
  <si>
    <t>Total Geral</t>
  </si>
  <si>
    <t>Soma de Faturamento</t>
  </si>
  <si>
    <t>Soma de Custo</t>
  </si>
  <si>
    <t>Soma de Resultado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</si>
  <si>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</si>
  <si>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</si>
  <si>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</si>
  <si>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</si>
  <si>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</si>
  <si>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</si>
  <si>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</si>
  <si>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</si>
  <si>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</si>
  <si>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</si>
  <si>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</si>
  <si>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</si>
  <si>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Meta de faturamento</t>
  </si>
  <si>
    <t>Soma de Quantidade de serviços</t>
  </si>
  <si>
    <t>Média de Prazo médio (dias)</t>
  </si>
  <si>
    <t>Faturamento Total</t>
  </si>
  <si>
    <t>Custo total</t>
  </si>
  <si>
    <t>Resultado total</t>
  </si>
  <si>
    <t>Meta planejada</t>
  </si>
  <si>
    <t>Dashboard Financeiro e Operacional — 2026</t>
  </si>
  <si>
    <t>Valores</t>
  </si>
  <si>
    <t>Resultado/Faturamento</t>
  </si>
  <si>
    <t>Faturamento/Meta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</si>
</sst>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0" fontId="0" fillId="0" borderId="0" xfId="2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4" fontId="2" fillId="0" borderId="0" xfId="1" applyFont="1" applyAlignment="1">
      <alignment horizontal="left" vertical="center"/>
    </xf>
    <xf numFmtId="44" fontId="0" fillId="0" borderId="0" xfId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44" fontId="0" fillId="0" borderId="0" xfId="0" applyNumberFormat="1" applyAlignment="1">
      <alignment horizontal="left" vertical="center"/>
    </xf>
    <xf numFmtId="10" fontId="2" fillId="0" borderId="0" xfId="2" applyNumberFormat="1" applyFont="1" applyAlignment="1">
      <alignment horizontal="left" vertical="center"/>
    </xf>
    <xf numFmtId="10" fontId="0" fillId="0" borderId="0" xfId="2" applyNumberFormat="1" applyFont="1"/>
    <xf numFmtId="0" fontId="0" fillId="0" borderId="0" xfId="0" pivotButton="1"/>
    <xf numFmtId="4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6"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numFmt numFmtId="10" formatCode="&quot;R$&quot;\ #,##0;[Red]\-&quot;R$&quot;\ #,##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0" formatCode="&quot;R$&quot;\ #,##0;[Red]\-&quot;R$&quot;\ #,##0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[dashboard_financeiro_operacional.xlsx]Dinâmica!Desempenho Financeiro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ysClr val="windowText" lastClr="000000"/>
                </a:solidFill>
              </a:rPr>
              <a:t>Desempenho Financeiro por Filial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Dinâmica!$B$1</c:f>
              <c:strCache>
                <c:ptCount val="1"/>
                <c:pt idx="0">
                  <c:v>Faturamento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Dinâmica!$A$2:$A$6</c:f>
              <c:strCache>
                <c:ptCount val="4"/>
                <c:pt idx="0">
                  <c:v>Belo Horizonte</c:v>
                </c:pt>
                <c:pt idx="1">
                  <c:v>Rio de Janeiro</c:v>
                </c:pt>
                <c:pt idx="2">
                  <c:v>Salvador</c:v>
                </c:pt>
                <c:pt idx="3">
                  <c:v>São Paulo</c:v>
                </c:pt>
              </c:strCache>
            </c:strRef>
          </c:cat>
          <c:val>
            <c:numRef>
              <c:f>Dinâmica!$B$2:$B$6</c:f>
              <c:numCache>
                <c:formatCode>_("R$"* #,##0.00_);_("R$"* \(#,##0.00\);_("R$"* "-"??_);_(@_)</c:formatCode>
                <c:ptCount val="4"/>
                <c:pt idx="0">
                  <c:v>358300</c:v>
                </c:pt>
                <c:pt idx="1">
                  <c:v>439900</c:v>
                </c:pt>
                <c:pt idx="2">
                  <c:v>367900</c:v>
                </c:pt>
                <c:pt idx="3">
                  <c:v>510900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9-4F29-8574-0BD3F49C5C1E}"/>
            </c:ext>
          </c:extLst>
        </c:ser>
        <c:ser>
          <c:idx val="1"/>
          <c:order val="1"/>
          <c:tx>
            <c:strRef>
              <c:f>Dinâmica!$C$1</c:f>
              <c:strCache>
                <c:ptCount val="1"/>
                <c:pt idx="0">
                  <c:v>Custo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Dinâmica!$A$2:$A$6</c:f>
              <c:strCache>
                <c:ptCount val="4"/>
                <c:pt idx="0">
                  <c:v>Belo Horizonte</c:v>
                </c:pt>
                <c:pt idx="1">
                  <c:v>Rio de Janeiro</c:v>
                </c:pt>
                <c:pt idx="2">
                  <c:v>Salvador</c:v>
                </c:pt>
                <c:pt idx="3">
                  <c:v>São Paulo</c:v>
                </c:pt>
              </c:strCache>
            </c:strRef>
          </c:cat>
          <c:val>
            <c:numRef>
              <c:f>Dinâmica!$C$2:$C$6</c:f>
              <c:numCache>
                <c:formatCode>_("R$"* #,##0.00_);_("R$"* \(#,##0.00\);_("R$"* "-"??_);_(@_)</c:formatCode>
                <c:ptCount val="4"/>
                <c:pt idx="0">
                  <c:v>224500</c:v>
                </c:pt>
                <c:pt idx="1">
                  <c:v>272800</c:v>
                </c:pt>
                <c:pt idx="2">
                  <c:v>232200</c:v>
                </c:pt>
                <c:pt idx="3">
                  <c:v>313900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9-4F29-8574-0BD3F49C5C1E}"/>
            </c:ext>
          </c:extLst>
        </c:ser>
        <c:ser>
          <c:idx val="2"/>
          <c:order val="2"/>
          <c:tx>
            <c:strRef>
              <c:f>Dinâmica!$D$1</c:f>
              <c:strCache>
                <c:ptCount val="1"/>
                <c:pt idx="0">
                  <c:v>Resultado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Dinâmica!$A$2:$A$6</c:f>
              <c:strCache>
                <c:ptCount val="4"/>
                <c:pt idx="0">
                  <c:v>Belo Horizonte</c:v>
                </c:pt>
                <c:pt idx="1">
                  <c:v>Rio de Janeiro</c:v>
                </c:pt>
                <c:pt idx="2">
                  <c:v>Salvador</c:v>
                </c:pt>
                <c:pt idx="3">
                  <c:v>São Paulo</c:v>
                </c:pt>
              </c:strCache>
            </c:strRef>
          </c:cat>
          <c:val>
            <c:numRef>
              <c:f>Dinâmica!$D$2:$D$6</c:f>
              <c:numCache>
                <c:formatCode>_("R$"* #,##0.00_);_("R$"* \(#,##0.00\);_("R$"* "-"??_);_(@_)</c:formatCode>
                <c:ptCount val="4"/>
                <c:pt idx="0">
                  <c:v>133800</c:v>
                </c:pt>
                <c:pt idx="1">
                  <c:v>167100</c:v>
                </c:pt>
                <c:pt idx="2">
                  <c:v>135700</c:v>
                </c:pt>
                <c:pt idx="3">
                  <c:v>197000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19-4F29-8574-0BD3F49C5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638079"/>
        <c:axId val="849462959"/>
      </c:barChart>
      <c:catAx>
        <c:axId val="106263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9462959"/>
        <c:crosses val="autoZero"/>
        <c:auto val="1"/>
        <c:lblAlgn val="ctr"/>
        <c:lblOffset val="100"/>
        <c:noMultiLvlLbl val="0"/>
      </c:catAx>
      <c:valAx>
        <c:axId val="84946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263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[dashboard_financeiro_operacional.xlsx]Dinâmica!Evolução mensal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ysClr val="windowText" lastClr="000000"/>
                </a:solidFill>
              </a:rPr>
              <a:t>Evolução mensal dos resultados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Dinâmica!$B$8</c:f>
              <c:strCache>
                <c:ptCount val="1"/>
                <c:pt idx="0">
                  <c:v>Faturamento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Dinâmica!$A$9:$A$21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Dinâmica!$B$9:$B$21</c:f>
              <c:numCache>
                <c:formatCode>_("R$"* #,##0.00_);_("R$"* \(#,##0.00\);_("R$"* "-"??_);_(@_)</c:formatCode>
                <c:ptCount val="12"/>
                <c:pt idx="0">
                  <c:v>113700</c:v>
                </c:pt>
                <c:pt idx="1">
                  <c:v>118200</c:v>
                </c:pt>
                <c:pt idx="2">
                  <c:v>118700</c:v>
                </c:pt>
                <c:pt idx="3">
                  <c:v>130500</c:v>
                </c:pt>
                <c:pt idx="4">
                  <c:v>132400</c:v>
                </c:pt>
                <c:pt idx="5">
                  <c:v>136200</c:v>
                </c:pt>
                <c:pt idx="6">
                  <c:v>144200</c:v>
                </c:pt>
                <c:pt idx="7">
                  <c:v>145400</c:v>
                </c:pt>
                <c:pt idx="8">
                  <c:v>149800</c:v>
                </c:pt>
                <c:pt idx="9">
                  <c:v>159600</c:v>
                </c:pt>
                <c:pt idx="10">
                  <c:v>161400</c:v>
                </c:pt>
                <c:pt idx="11">
                  <c:v>166900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3-43E8-8EBD-2E6C71091EB4}"/>
            </c:ext>
          </c:extLst>
        </c:ser>
        <c:ser>
          <c:idx val="1"/>
          <c:order val="1"/>
          <c:tx>
            <c:strRef>
              <c:f>Dinâmica!$C$8</c:f>
              <c:strCache>
                <c:ptCount val="1"/>
                <c:pt idx="0">
                  <c:v>Custo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Dinâmica!$A$9:$A$21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Dinâmica!$C$9:$C$21</c:f>
              <c:numCache>
                <c:formatCode>_("R$"* #,##0.00_);_("R$"* \(#,##0.00\);_("R$"* "-"??_);_(@_)</c:formatCode>
                <c:ptCount val="12"/>
                <c:pt idx="0">
                  <c:v>74200</c:v>
                </c:pt>
                <c:pt idx="1">
                  <c:v>76300</c:v>
                </c:pt>
                <c:pt idx="2">
                  <c:v>73800</c:v>
                </c:pt>
                <c:pt idx="3">
                  <c:v>82700</c:v>
                </c:pt>
                <c:pt idx="4">
                  <c:v>86500</c:v>
                </c:pt>
                <c:pt idx="5">
                  <c:v>83500</c:v>
                </c:pt>
                <c:pt idx="6">
                  <c:v>89300</c:v>
                </c:pt>
                <c:pt idx="7">
                  <c:v>93400</c:v>
                </c:pt>
                <c:pt idx="8">
                  <c:v>89200</c:v>
                </c:pt>
                <c:pt idx="9">
                  <c:v>96000</c:v>
                </c:pt>
                <c:pt idx="10">
                  <c:v>101300</c:v>
                </c:pt>
                <c:pt idx="11">
                  <c:v>97200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C3-43E8-8EBD-2E6C71091EB4}"/>
            </c:ext>
          </c:extLst>
        </c:ser>
        <c:ser>
          <c:idx val="2"/>
          <c:order val="2"/>
          <c:tx>
            <c:strRef>
              <c:f>Dinâmica!$D$8</c:f>
              <c:strCache>
                <c:ptCount val="1"/>
                <c:pt idx="0">
                  <c:v>Resultado 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Dinâmica!$A$9:$A$21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Dinâmica!$D$9:$D$21</c:f>
              <c:numCache>
                <c:formatCode>_("R$"* #,##0.00_);_("R$"* \(#,##0.00\);_("R$"* "-"??_);_(@_)</c:formatCode>
                <c:ptCount val="12"/>
                <c:pt idx="0">
                  <c:v>39500</c:v>
                </c:pt>
                <c:pt idx="1">
                  <c:v>41900</c:v>
                </c:pt>
                <c:pt idx="2">
                  <c:v>44900</c:v>
                </c:pt>
                <c:pt idx="3">
                  <c:v>47800</c:v>
                </c:pt>
                <c:pt idx="4">
                  <c:v>45900</c:v>
                </c:pt>
                <c:pt idx="5">
                  <c:v>52700</c:v>
                </c:pt>
                <c:pt idx="6">
                  <c:v>54900</c:v>
                </c:pt>
                <c:pt idx="7">
                  <c:v>52000</c:v>
                </c:pt>
                <c:pt idx="8">
                  <c:v>60600</c:v>
                </c:pt>
                <c:pt idx="9">
                  <c:v>63600</c:v>
                </c:pt>
                <c:pt idx="10">
                  <c:v>60100</c:v>
                </c:pt>
                <c:pt idx="11">
                  <c:v>69700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C3-43E8-8EBD-2E6C71091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1928847"/>
        <c:axId val="849384719"/>
      </c:lineChart>
      <c:catAx>
        <c:axId val="140192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9384719"/>
        <c:crosses val="autoZero"/>
        <c:auto val="1"/>
        <c:lblAlgn val="ctr"/>
        <c:lblOffset val="100"/>
        <c:noMultiLvlLbl val="0"/>
      </c:catAx>
      <c:valAx>
        <c:axId val="84938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192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[dashboard_financeiro_operacional.xlsx]Dinâmica!Desempenho por serviço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baseline="0">
                <a:solidFill>
                  <a:sysClr val="windowText" lastClr="000000"/>
                </a:solidFill>
              </a:rPr>
              <a:t>Desempenho financeiro por tipo de serviço</a:t>
            </a:r>
            <a:endParaRPr lang="pt-BR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Dinâmica!$B$23</c:f>
              <c:strCache>
                <c:ptCount val="1"/>
                <c:pt idx="0">
                  <c:v>Faturamento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Dinâmica!$A$24:$A$27</c:f>
              <c:strCache>
                <c:ptCount val="3"/>
                <c:pt idx="0">
                  <c:v>Inspeção técnica</c:v>
                </c:pt>
                <c:pt idx="1">
                  <c:v>Manutenção corretiva</c:v>
                </c:pt>
                <c:pt idx="2">
                  <c:v>Manutenção preventiva</c:v>
                </c:pt>
              </c:strCache>
            </c:strRef>
          </c:cat>
          <c:val>
            <c:numRef>
              <c:f>Dinâmica!$B$24:$B$27</c:f>
              <c:numCache>
                <c:formatCode>_("R$"* #,##0.00_);_("R$"* \(#,##0.00\);_("R$"* "-"??_);_(@_)</c:formatCode>
                <c:ptCount val="3"/>
                <c:pt idx="0">
                  <c:v>550100</c:v>
                </c:pt>
                <c:pt idx="1">
                  <c:v>562000</c:v>
                </c:pt>
                <c:pt idx="2">
                  <c:v>564900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E-4CC0-87F1-6EC153988499}"/>
            </c:ext>
          </c:extLst>
        </c:ser>
        <c:ser>
          <c:idx val="1"/>
          <c:order val="1"/>
          <c:tx>
            <c:strRef>
              <c:f>Dinâmica!$C$23</c:f>
              <c:strCache>
                <c:ptCount val="1"/>
                <c:pt idx="0">
                  <c:v>Custo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Dinâmica!$A$24:$A$27</c:f>
              <c:strCache>
                <c:ptCount val="3"/>
                <c:pt idx="0">
                  <c:v>Inspeção técnica</c:v>
                </c:pt>
                <c:pt idx="1">
                  <c:v>Manutenção corretiva</c:v>
                </c:pt>
                <c:pt idx="2">
                  <c:v>Manutenção preventiva</c:v>
                </c:pt>
              </c:strCache>
            </c:strRef>
          </c:cat>
          <c:val>
            <c:numRef>
              <c:f>Dinâmica!$C$24:$C$27</c:f>
              <c:numCache>
                <c:formatCode>_("R$"* #,##0.00_);_("R$"* \(#,##0.00\);_("R$"* "-"??_);_(@_)</c:formatCode>
                <c:ptCount val="3"/>
                <c:pt idx="0">
                  <c:v>314600</c:v>
                </c:pt>
                <c:pt idx="1">
                  <c:v>387800</c:v>
                </c:pt>
                <c:pt idx="2">
                  <c:v>341000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FE-4CC0-87F1-6EC153988499}"/>
            </c:ext>
          </c:extLst>
        </c:ser>
        <c:ser>
          <c:idx val="2"/>
          <c:order val="2"/>
          <c:tx>
            <c:strRef>
              <c:f>Dinâmica!$D$23</c:f>
              <c:strCache>
                <c:ptCount val="1"/>
                <c:pt idx="0">
                  <c:v>Resultado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Dinâmica!$A$24:$A$27</c:f>
              <c:strCache>
                <c:ptCount val="3"/>
                <c:pt idx="0">
                  <c:v>Inspeção técnica</c:v>
                </c:pt>
                <c:pt idx="1">
                  <c:v>Manutenção corretiva</c:v>
                </c:pt>
                <c:pt idx="2">
                  <c:v>Manutenção preventiva</c:v>
                </c:pt>
              </c:strCache>
            </c:strRef>
          </c:cat>
          <c:val>
            <c:numRef>
              <c:f>Dinâmica!$D$24:$D$27</c:f>
              <c:numCache>
                <c:formatCode>_("R$"* #,##0.00_);_("R$"* \(#,##0.00\);_("R$"* "-"??_);_(@_)</c:formatCode>
                <c:ptCount val="3"/>
                <c:pt idx="0">
                  <c:v>235500</c:v>
                </c:pt>
                <c:pt idx="1">
                  <c:v>174200</c:v>
                </c:pt>
                <c:pt idx="2">
                  <c:v>223900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FE-4CC0-87F1-6EC153988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1378959"/>
        <c:axId val="849477359"/>
      </c:barChart>
      <c:catAx>
        <c:axId val="1061378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9477359"/>
        <c:crosses val="autoZero"/>
        <c:auto val="1"/>
        <c:lblAlgn val="ctr"/>
        <c:lblOffset val="100"/>
        <c:noMultiLvlLbl val="0"/>
      </c:catAx>
      <c:valAx>
        <c:axId val="84947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137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[dashboard_financeiro_operacional.xlsx]Dinâmica!Comparação com a meta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ysClr val="windowText" lastClr="000000"/>
                </a:solidFill>
              </a:rPr>
              <a:t>Faturamento versus meta por filial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Dinâmica!$B$29</c:f>
              <c:strCache>
                <c:ptCount val="1"/>
                <c:pt idx="0">
                  <c:v>Faturamento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Dinâmica!$A$30:$A$34</c:f>
              <c:strCache>
                <c:ptCount val="4"/>
                <c:pt idx="0">
                  <c:v>Belo Horizonte</c:v>
                </c:pt>
                <c:pt idx="1">
                  <c:v>Rio de Janeiro</c:v>
                </c:pt>
                <c:pt idx="2">
                  <c:v>Salvador</c:v>
                </c:pt>
                <c:pt idx="3">
                  <c:v>São Paulo</c:v>
                </c:pt>
              </c:strCache>
            </c:strRef>
          </c:cat>
          <c:val>
            <c:numRef>
              <c:f>Dinâmica!$B$30:$B$34</c:f>
              <c:numCache>
                <c:formatCode>_("R$"* #,##0.00_);_("R$"* \(#,##0.00\);_("R$"* "-"??_);_(@_)</c:formatCode>
                <c:ptCount val="4"/>
                <c:pt idx="0">
                  <c:v>358300</c:v>
                </c:pt>
                <c:pt idx="1">
                  <c:v>439900</c:v>
                </c:pt>
                <c:pt idx="2">
                  <c:v>367900</c:v>
                </c:pt>
                <c:pt idx="3">
                  <c:v>510900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1-4719-B726-E0043EB2E4A3}"/>
            </c:ext>
          </c:extLst>
        </c:ser>
        <c:ser>
          <c:idx val="1"/>
          <c:order val="1"/>
          <c:tx>
            <c:strRef>
              <c:f>Dinâmica!$C$29</c:f>
              <c:strCache>
                <c:ptCount val="1"/>
                <c:pt idx="0">
                  <c:v>Meta planejada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Dinâmica!$A$30:$A$34</c:f>
              <c:strCache>
                <c:ptCount val="4"/>
                <c:pt idx="0">
                  <c:v>Belo Horizonte</c:v>
                </c:pt>
                <c:pt idx="1">
                  <c:v>Rio de Janeiro</c:v>
                </c:pt>
                <c:pt idx="2">
                  <c:v>Salvador</c:v>
                </c:pt>
                <c:pt idx="3">
                  <c:v>São Paulo</c:v>
                </c:pt>
              </c:strCache>
            </c:strRef>
          </c:cat>
          <c:val>
            <c:numRef>
              <c:f>Dinâmica!$C$30:$C$34</c:f>
              <c:numCache>
                <c:formatCode>_("R$"* #,##0.00_);_("R$"* \(#,##0.00\);_("R$"* "-"??_);_(@_)</c:formatCode>
                <c:ptCount val="4"/>
                <c:pt idx="0">
                  <c:v>358000</c:v>
                </c:pt>
                <c:pt idx="1">
                  <c:v>429000</c:v>
                </c:pt>
                <c:pt idx="2">
                  <c:v>365000</c:v>
                </c:pt>
                <c:pt idx="3">
                  <c:v>498000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1-4719-B726-E0043EB2E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805887"/>
        <c:axId val="849437039"/>
      </c:barChart>
      <c:catAx>
        <c:axId val="140280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9437039"/>
        <c:crosses val="autoZero"/>
        <c:auto val="1"/>
        <c:lblAlgn val="ctr"/>
        <c:lblOffset val="100"/>
        <c:noMultiLvlLbl val="0"/>
      </c:catAx>
      <c:valAx>
        <c:axId val="84943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280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136525</xdr:rowOff>
    </xdr:from>
    <xdr:to>
      <xdr:col>11</xdr:col>
      <xdr:colOff>529312</xdr:colOff>
      <xdr:row>36</xdr:row>
      <xdr:rowOff>54025</xdr:rowOff>
    </xdr:to>
    <xdr:graphicFrame macro="">
      <xdr:nvGraphicFramePr>
        <xdr:cNvPr id="2" name="Desempenho Financeiro por Filial">
          <a:extLst>
            <a:ext uri="{FF2B5EF4-FFF2-40B4-BE49-F238E27FC236}">
              <a16:creationId xmlns:a16="http://schemas.microsoft.com/office/drawing/2014/main" id="{A850467A-3879-4134-A1AA-789FA06A7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609915</xdr:colOff>
      <xdr:row>37</xdr:row>
      <xdr:rowOff>0</xdr:rowOff>
    </xdr:from>
    <xdr:to>
      <xdr:col>11</xdr:col>
      <xdr:colOff>528040</xdr:colOff>
      <xdr:row>61</xdr:row>
      <xdr:rowOff>108000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66BE50-E619-49D4-98FD-DB02DEFD2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11</xdr:row>
      <xdr:rowOff>136525</xdr:rowOff>
    </xdr:from>
    <xdr:to>
      <xdr:col>21</xdr:col>
      <xdr:colOff>529312</xdr:colOff>
      <xdr:row>36</xdr:row>
      <xdr:rowOff>54025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E11967-8A26-42E3-A61A-15D2CA39D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37</xdr:row>
      <xdr:rowOff>0</xdr:rowOff>
    </xdr:from>
    <xdr:to>
      <xdr:col>21</xdr:col>
      <xdr:colOff>529312</xdr:colOff>
      <xdr:row>61</xdr:row>
      <xdr:rowOff>108000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63447C7-B5E0-4F27-84A2-0B44E0239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600965</xdr:colOff>
      <xdr:row>5</xdr:row>
      <xdr:rowOff>85726</xdr:rowOff>
    </xdr:from>
    <xdr:to>
      <xdr:col>5</xdr:col>
      <xdr:colOff>226215</xdr:colOff>
      <xdr:row>11</xdr:row>
      <xdr:rowOff>22726</xdr:rowOff>
    </xdr:to>
    <xdr:sp macro="" textlink="Indicadores!A10">
      <xdr:nvSpPr>
        <xdr:cNvPr id="6" name="Retângulo: Cantos Arredondados 5">
          <a:extLst>
            <a:ext uri="{FF2B5EF4-FFF2-40B4-BE49-F238E27FC236}">
              <a16:creationId xmlns:a16="http://schemas.microsoft.com/office/drawing/2014/main" id="{87DE371F-1204-26A1-1AB6-1D74A1A09A16}"/>
            </a:ext>
          </a:extLst>
        </xdr:cNvPr>
        <xdr:cNvSpPr/>
      </xdr:nvSpPr>
      <xdr:spPr>
        <a:xfrm>
          <a:off x="2424305" y="1038226"/>
          <a:ext cx="4140000" cy="108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69AE565-EE75-4D52-864C-16BABF436CD4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t>Faturamento Total 
R$ 1.677.000</a:t>
          </a:fld>
          <a:endParaRPr lang="pt-BR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84793</xdr:colOff>
      <xdr:row>5</xdr:row>
      <xdr:rowOff>87312</xdr:rowOff>
    </xdr:from>
    <xdr:to>
      <xdr:col>9</xdr:col>
      <xdr:colOff>321231</xdr:colOff>
      <xdr:row>11</xdr:row>
      <xdr:rowOff>24312</xdr:rowOff>
    </xdr:to>
    <xdr:sp macro="" textlink="Indicadores!A11">
      <xdr:nvSpPr>
        <xdr:cNvPr id="11" name="Retângulo: Cantos Arredondados 10">
          <a:extLst>
            <a:ext uri="{FF2B5EF4-FFF2-40B4-BE49-F238E27FC236}">
              <a16:creationId xmlns:a16="http://schemas.microsoft.com/office/drawing/2014/main" id="{5543CC0E-6228-4E07-94D8-F71B2F47736B}"/>
            </a:ext>
          </a:extLst>
        </xdr:cNvPr>
        <xdr:cNvSpPr/>
      </xdr:nvSpPr>
      <xdr:spPr>
        <a:xfrm>
          <a:off x="7503837" y="1039812"/>
          <a:ext cx="4140001" cy="108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815E30F1-4557-4419-9107-4CCB13CFBC36}" type="TxLink"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Custo Total 
R$ 1.043.400</a:t>
          </a:fld>
          <a:endParaRPr lang="pt-BR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179810</xdr:colOff>
      <xdr:row>5</xdr:row>
      <xdr:rowOff>80962</xdr:rowOff>
    </xdr:from>
    <xdr:to>
      <xdr:col>13</xdr:col>
      <xdr:colOff>416248</xdr:colOff>
      <xdr:row>11</xdr:row>
      <xdr:rowOff>17962</xdr:rowOff>
    </xdr:to>
    <xdr:sp macro="" textlink="Indicadores!A12">
      <xdr:nvSpPr>
        <xdr:cNvPr id="12" name="Retângulo: Cantos Arredondados 11">
          <a:extLst>
            <a:ext uri="{FF2B5EF4-FFF2-40B4-BE49-F238E27FC236}">
              <a16:creationId xmlns:a16="http://schemas.microsoft.com/office/drawing/2014/main" id="{F59E5FB7-27DE-4D22-8BBB-EC867F99F945}"/>
            </a:ext>
          </a:extLst>
        </xdr:cNvPr>
        <xdr:cNvSpPr/>
      </xdr:nvSpPr>
      <xdr:spPr>
        <a:xfrm>
          <a:off x="12583370" y="1033462"/>
          <a:ext cx="4140001" cy="108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CA70874E-D43D-49C5-9150-65367A74EC7F}" type="TxLink"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Resultado 
R$ 633.600</a:t>
          </a:fld>
          <a:endParaRPr lang="pt-BR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274826</xdr:colOff>
      <xdr:row>5</xdr:row>
      <xdr:rowOff>82550</xdr:rowOff>
    </xdr:from>
    <xdr:to>
      <xdr:col>17</xdr:col>
      <xdr:colOff>511264</xdr:colOff>
      <xdr:row>11</xdr:row>
      <xdr:rowOff>19550</xdr:rowOff>
    </xdr:to>
    <xdr:sp macro="" textlink="Indicadores!A13">
      <xdr:nvSpPr>
        <xdr:cNvPr id="13" name="Retângulo: Cantos Arredondados 12">
          <a:extLst>
            <a:ext uri="{FF2B5EF4-FFF2-40B4-BE49-F238E27FC236}">
              <a16:creationId xmlns:a16="http://schemas.microsoft.com/office/drawing/2014/main" id="{8AF191AE-038A-4F0D-AA75-9CEA5DCA55B5}"/>
            </a:ext>
          </a:extLst>
        </xdr:cNvPr>
        <xdr:cNvSpPr/>
      </xdr:nvSpPr>
      <xdr:spPr>
        <a:xfrm>
          <a:off x="17662903" y="1035050"/>
          <a:ext cx="4140001" cy="108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90ECC416-4D6D-4EB6-817D-27C9A27DD452}" type="TxLink"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Margem 
37,78%</a:t>
          </a:fld>
          <a:endParaRPr lang="pt-BR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369843</xdr:colOff>
      <xdr:row>5</xdr:row>
      <xdr:rowOff>84138</xdr:rowOff>
    </xdr:from>
    <xdr:to>
      <xdr:col>21</xdr:col>
      <xdr:colOff>606281</xdr:colOff>
      <xdr:row>11</xdr:row>
      <xdr:rowOff>21138</xdr:rowOff>
    </xdr:to>
    <xdr:sp macro="" textlink="Indicadores!A14">
      <xdr:nvSpPr>
        <xdr:cNvPr id="14" name="Retângulo: Cantos Arredondados 13">
          <a:extLst>
            <a:ext uri="{FF2B5EF4-FFF2-40B4-BE49-F238E27FC236}">
              <a16:creationId xmlns:a16="http://schemas.microsoft.com/office/drawing/2014/main" id="{0C2E5473-40F8-43A3-A8C5-30D7C7DB375F}"/>
            </a:ext>
          </a:extLst>
        </xdr:cNvPr>
        <xdr:cNvSpPr/>
      </xdr:nvSpPr>
      <xdr:spPr>
        <a:xfrm>
          <a:off x="22742437" y="1036638"/>
          <a:ext cx="4140000" cy="108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197361AF-3C0D-4116-83A9-AD213AAEF190}" type="TxLink">
            <a:rPr lang="en-US" sz="16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Meta atingida 
101,64%</a:t>
          </a:fld>
          <a:endParaRPr lang="pt-BR" sz="16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139505</xdr:colOff>
      <xdr:row>9</xdr:row>
      <xdr:rowOff>138338</xdr:rowOff>
    </xdr:from>
    <xdr:to>
      <xdr:col>1</xdr:col>
      <xdr:colOff>555624</xdr:colOff>
      <xdr:row>18</xdr:row>
      <xdr:rowOff>127000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Filial">
              <a:extLst>
                <a:ext uri="{FF2B5EF4-FFF2-40B4-BE49-F238E27FC236}">
                  <a16:creationId xmlns:a16="http://schemas.microsoft.com/office/drawing/2014/main" id="{E0C02787-3D6F-4445-B473-E8A4737AD8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i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010" y="1852838"/>
              <a:ext cx="2054613" cy="17031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139505</xdr:colOff>
      <xdr:row>0</xdr:row>
      <xdr:rowOff>174625</xdr:rowOff>
    </xdr:from>
    <xdr:to>
      <xdr:col>1</xdr:col>
      <xdr:colOff>555624</xdr:colOff>
      <xdr:row>8</xdr:row>
      <xdr:rowOff>174625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Tipo de serviço">
              <a:extLst>
                <a:ext uri="{FF2B5EF4-FFF2-40B4-BE49-F238E27FC236}">
                  <a16:creationId xmlns:a16="http://schemas.microsoft.com/office/drawing/2014/main" id="{C2D0B2AA-50A3-4B5A-8001-09EF84AD0F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serviç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010" y="174625"/>
              <a:ext cx="2054613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e Ribeiro" refreshedDate="46287.856194560183" createdVersion="8" refreshedVersion="8" minRefreshableVersion="3" recordCount="48" xr:uid="{4CF8F9A4-63BF-4015-933D-87D2381CBFCB}">
  <cacheSource type="worksheet">
    <worksheetSource name="BaseFinanceira"/>
  </cacheSource>
  <cacheFields count="16">
    <cacheField name="Data" numFmtId="14">
      <sharedItems containsSemiMixedTypes="0" containsNonDate="0" containsDate="1" containsString="0" minDate="2026-01-15T00:00:00" maxDate="2026-12-16T00:00:00" count="12">
        <d v="2026-01-15T00:00:00"/>
        <d v="2026-02-15T00:00:00"/>
        <d v="2026-03-15T00:00:00"/>
        <d v="2026-04-15T00:00:00"/>
        <d v="2026-05-15T00:00:00"/>
        <d v="2026-06-15T00:00:00"/>
        <d v="2026-07-15T00:00:00"/>
        <d v="2026-08-15T00:00:00"/>
        <d v="2026-09-15T00:00:00"/>
        <d v="2026-10-15T00:00:00"/>
        <d v="2026-11-15T00:00:00"/>
        <d v="2026-12-15T00:00:00"/>
      </sharedItems>
      <fieldGroup par="15"/>
    </cacheField>
    <cacheField name="Mês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Filial" numFmtId="0">
      <sharedItems count="4">
        <s v="São Paulo"/>
        <s v="Rio de Janeiro"/>
        <s v="Belo Horizonte"/>
        <s v="Salvador"/>
      </sharedItems>
    </cacheField>
    <cacheField name="Tipo de serviço" numFmtId="0">
      <sharedItems count="3">
        <s v="Manutenção preventiva"/>
        <s v="Manutenção corretiva"/>
        <s v="Inspeção técnica"/>
      </sharedItems>
    </cacheField>
    <cacheField name="Faturamento" numFmtId="44">
      <sharedItems containsSemiMixedTypes="0" containsString="0" containsNumber="1" containsInteger="1" minValue="22400" maxValue="49800" count="47">
        <n v="35000"/>
        <n v="29800"/>
        <n v="22400"/>
        <n v="26500"/>
        <n v="38200"/>
        <n v="27600"/>
        <n v="24100"/>
        <n v="28300"/>
        <n v="36900"/>
        <n v="32100"/>
        <n v="25900"/>
        <n v="23800"/>
        <n v="41200"/>
        <n v="33500"/>
        <n v="26700"/>
        <n v="29100"/>
        <n v="39800"/>
        <n v="34200"/>
        <n v="27800"/>
        <n v="30600"/>
        <n v="43500"/>
        <n v="36100"/>
        <n v="29400"/>
        <n v="27200"/>
        <n v="44800"/>
        <n v="37400"/>
        <n v="30100"/>
        <n v="31900"/>
        <n v="42100"/>
        <n v="38900"/>
        <n v="31600"/>
        <n v="32800"/>
        <n v="46200"/>
        <n v="40300"/>
        <n v="32900"/>
        <n v="30400"/>
        <n v="47900"/>
        <n v="41700"/>
        <n v="34400"/>
        <n v="35600"/>
        <n v="45500"/>
        <n v="43200"/>
        <n v="35800"/>
        <n v="49800"/>
        <n v="45100"/>
        <n v="37200"/>
        <n v="34800"/>
      </sharedItems>
    </cacheField>
    <cacheField name="Custo" numFmtId="44">
      <sharedItems containsSemiMixedTypes="0" containsString="0" containsNumber="1" containsInteger="1" minValue="13700" maxValue="30900" count="43">
        <n v="22000"/>
        <n v="21100"/>
        <n v="13700"/>
        <n v="17400"/>
        <n v="24900"/>
        <n v="16500"/>
        <n v="14800"/>
        <n v="20100"/>
        <n v="21300"/>
        <n v="19800"/>
        <n v="18500"/>
        <n v="14200"/>
        <n v="25100"/>
        <n v="23700"/>
        <n v="15800"/>
        <n v="18100"/>
        <n v="27700"/>
        <n v="16900"/>
        <n v="21800"/>
        <n v="24800"/>
        <n v="22100"/>
        <n v="20700"/>
        <n v="15900"/>
        <n v="26900"/>
        <n v="25600"/>
        <n v="19400"/>
        <n v="29200"/>
        <n v="22200"/>
        <n v="18900"/>
        <n v="23100"/>
        <n v="25700"/>
        <n v="23800"/>
        <n v="22600"/>
        <n v="17100"/>
        <n v="28100"/>
        <n v="27900"/>
        <n v="19300"/>
        <n v="30900"/>
        <n v="24100"/>
        <n v="25200"/>
        <n v="27300"/>
        <n v="25900"/>
        <n v="19200"/>
      </sharedItems>
    </cacheField>
    <cacheField name="Meta de faturamento" numFmtId="44">
      <sharedItems containsSemiMixedTypes="0" containsString="0" containsNumber="1" containsInteger="1" minValue="23000" maxValue="48000" count="25">
        <n v="32000"/>
        <n v="31000"/>
        <n v="23000"/>
        <n v="25000"/>
        <n v="35000"/>
        <n v="27000"/>
        <n v="29000"/>
        <n v="36000"/>
        <n v="30000"/>
        <n v="24000"/>
        <n v="39000"/>
        <n v="34000"/>
        <n v="26000"/>
        <n v="28000"/>
        <n v="41000"/>
        <n v="42000"/>
        <n v="43000"/>
        <n v="38000"/>
        <n v="44000"/>
        <n v="37000"/>
        <n v="45000"/>
        <n v="33000"/>
        <n v="46000"/>
        <n v="47000"/>
        <n v="48000"/>
      </sharedItems>
    </cacheField>
    <cacheField name="Quantidade de serviços" numFmtId="1">
      <sharedItems containsSemiMixedTypes="0" containsString="0" containsNumber="1" containsInteger="1" minValue="7" maxValue="20" count="13">
        <n v="12"/>
        <n v="8"/>
        <n v="10"/>
        <n v="9"/>
        <n v="11"/>
        <n v="13"/>
        <n v="7"/>
        <n v="15"/>
        <n v="14"/>
        <n v="17"/>
        <n v="16"/>
        <n v="18"/>
        <n v="20"/>
      </sharedItems>
    </cacheField>
    <cacheField name="Prazo médio (dias)" numFmtId="0">
      <sharedItems containsSemiMixedTypes="0" containsString="0" containsNumber="1" containsInteger="1" minValue="5" maxValue="14" count="10">
        <n v="8"/>
        <n v="12"/>
        <n v="6"/>
        <n v="9"/>
        <n v="11"/>
        <n v="7"/>
        <n v="13"/>
        <n v="14"/>
        <n v="5"/>
        <n v="10"/>
      </sharedItems>
    </cacheField>
    <cacheField name="Resultado" numFmtId="44">
      <sharedItems containsSemiMixedTypes="0" containsString="0" containsNumber="1" containsInteger="1" minValue="7400" maxValue="22500" count="42">
        <n v="13000"/>
        <n v="8700"/>
        <n v="9100"/>
        <n v="13300"/>
        <n v="11100"/>
        <n v="9300"/>
        <n v="8200"/>
        <n v="15600"/>
        <n v="12300"/>
        <n v="7400"/>
        <n v="9600"/>
        <n v="16100"/>
        <n v="9800"/>
        <n v="10900"/>
        <n v="11000"/>
        <n v="12100"/>
        <n v="14100"/>
        <n v="8800"/>
        <n v="18700"/>
        <n v="14000"/>
        <n v="11300"/>
        <n v="17900"/>
        <n v="11800"/>
        <n v="12700"/>
        <n v="12500"/>
        <n v="12900"/>
        <n v="16700"/>
        <n v="9700"/>
        <n v="20500"/>
        <n v="16500"/>
        <n v="10300"/>
        <n v="19800"/>
        <n v="13800"/>
        <n v="15100"/>
        <n v="14900"/>
        <n v="14600"/>
        <n v="19100"/>
        <n v="14700"/>
        <n v="11700"/>
        <n v="22500"/>
        <n v="19200"/>
        <n v="12400"/>
      </sharedItems>
    </cacheField>
    <cacheField name="Margem" numFmtId="10">
      <sharedItems containsSemiMixedTypes="0" containsString="0" containsNumber="1" minValue="0.2857142857142857" maxValue="0.45180722891566266" count="48">
        <n v="0.37142857142857144"/>
        <n v="0.29194630872483224"/>
        <n v="0.38839285714285715"/>
        <n v="0.34339622641509432"/>
        <n v="0.34816753926701571"/>
        <n v="0.40217391304347827"/>
        <n v="0.38589211618257263"/>
        <n v="0.28975265017667845"/>
        <n v="0.42276422764227645"/>
        <n v="0.38317757009345793"/>
        <n v="0.2857142857142857"/>
        <n v="0.40336134453781514"/>
        <n v="0.39077669902912621"/>
        <n v="0.29253731343283584"/>
        <n v="0.40823970037453183"/>
        <n v="0.37800687285223367"/>
        <n v="0.30402010050251255"/>
        <n v="0.41228070175438597"/>
        <n v="0.3920863309352518"/>
        <n v="0.28758169934640521"/>
        <n v="0.42988505747126438"/>
        <n v="0.38781163434903049"/>
        <n v="0.29591836734693877"/>
        <n v="0.41544117647058826"/>
        <n v="0.39955357142857145"/>
        <n v="0.31550802139037432"/>
        <n v="0.42192691029900331"/>
        <n v="0.39184952978056425"/>
        <n v="0.30641330166270786"/>
        <n v="0.42930591259640105"/>
        <n v="0.40189873417721517"/>
        <n v="0.29573170731707316"/>
        <n v="0.44372294372294374"/>
        <n v="0.40942928039702231"/>
        <n v="0.31306990881458968"/>
        <n v="0.4375"/>
        <n v="0.41336116910229648"/>
        <n v="0.33093525179856115"/>
        <n v="0.43895348837209303"/>
        <n v="0.41853932584269665"/>
        <n v="0.3208791208791209"/>
        <n v="0.44212962962962965"/>
        <n v="0.41061452513966479"/>
        <n v="0.31707317073170732"/>
        <n v="0.45180722891566266"/>
        <n v="0.42572062084257206"/>
        <n v="0.33333333333333331"/>
        <n v="0.44827586206896552"/>
      </sharedItems>
    </cacheField>
    <cacheField name="Atingimento da meta" numFmtId="10">
      <sharedItems containsSemiMixedTypes="0" containsString="0" containsNumber="1" minValue="0.95681818181818179" maxValue="1.09375" count="47">
        <n v="1.09375"/>
        <n v="0.96129032258064517"/>
        <n v="0.97391304347826091"/>
        <n v="1.06"/>
        <n v="1.0914285714285714"/>
        <n v="1.0222222222222221"/>
        <n v="0.96399999999999997"/>
        <n v="0.97586206896551719"/>
        <n v="1.0249999999999999"/>
        <n v="1.07"/>
        <n v="0.95925925925925926"/>
        <n v="0.9916666666666667"/>
        <n v="1.0564102564102564"/>
        <n v="0.98529411764705888"/>
        <n v="1.0269230769230768"/>
        <n v="1.0392857142857144"/>
        <n v="0.97073170731707314"/>
        <n v="1.0687500000000001"/>
        <n v="0.99285714285714288"/>
        <n v="0.98709677419354835"/>
        <n v="1.0357142857142858"/>
        <n v="1.0314285714285714"/>
        <n v="0.98"/>
        <n v="1.0074074074074073"/>
        <n v="1.0418604651162791"/>
        <n v="0.98421052631578942"/>
        <n v="1.0379310344827586"/>
        <n v="1.0290322580645161"/>
        <n v="0.95681818181818179"/>
        <n v="1.0513513513513513"/>
        <n v="1.0193548387096774"/>
        <n v="0.96470588235294119"/>
        <n v="1.0266666666666666"/>
        <n v="1.0333333333333334"/>
        <n v="0.99696969696969695"/>
        <n v="1.0133333333333334"/>
        <n v="1.0413043478260871"/>
        <n v="1.0424242424242425"/>
        <n v="1.0470588235294118"/>
        <n v="0.96808510638297873"/>
        <n v="1.0536585365853659"/>
        <n v="1.0228571428571429"/>
        <n v="0.99729729729729732"/>
        <n v="1.0375000000000001"/>
        <n v="1.0488372093023255"/>
        <n v="0.97894736842105268"/>
        <n v="0.99428571428571433"/>
      </sharedItems>
    </cacheField>
    <cacheField name="Ticket médio" numFmtId="44">
      <sharedItems containsSemiMixedTypes="0" containsString="0" containsNumber="1" minValue="2123.0769230769229" maxValue="4042.8571428571427" count="48">
        <n v="2916.6666666666665"/>
        <n v="3725"/>
        <n v="2240"/>
        <n v="2944.4444444444443"/>
        <n v="3472.7272727272725"/>
        <n v="2123.0769230769229"/>
        <n v="2677.7777777777778"/>
        <n v="4042.8571428571427"/>
        <n v="2460"/>
        <n v="2918.181818181818"/>
        <n v="3700"/>
        <n v="2380"/>
        <n v="2942.8571428571427"/>
        <n v="3722.2222222222222"/>
        <n v="2225"/>
        <n v="2910"/>
        <n v="3980"/>
        <n v="2442.8571428571427"/>
        <n v="2527.2727272727275"/>
        <n v="3825"/>
        <n v="2558.8235294117649"/>
        <n v="2776.9230769230771"/>
        <n v="3675"/>
        <n v="2266.6666666666665"/>
        <n v="2800"/>
        <n v="3740"/>
        <n v="2315.3846153846152"/>
        <n v="2900"/>
        <n v="3827.2727272727275"/>
        <n v="2431.25"/>
        <n v="2633.3333333333335"/>
        <n v="3644.4444444444443"/>
        <n v="2566.6666666666665"/>
        <n v="2686.6666666666665"/>
        <n v="3655.5555555555557"/>
        <n v="2171.4285714285716"/>
        <n v="2817.6470588235293"/>
        <n v="3790.909090909091"/>
        <n v="2293.3333333333335"/>
        <n v="2738.4615384615386"/>
        <n v="3791.6666666666665"/>
        <n v="2541.1764705882351"/>
        <n v="2557.1428571428573"/>
        <n v="3690"/>
        <n v="2490"/>
        <n v="2818.75"/>
        <n v="3720"/>
        <n v="2320"/>
      </sharedItems>
    </cacheField>
    <cacheField name="Custo médio por serviço" numFmtId="44">
      <sharedItems containsSemiMixedTypes="0" containsString="0" containsNumber="1" minValue="1221.4285714285713" maxValue="2871.4285714285716" count="47">
        <n v="1833.3333333333333"/>
        <n v="2637.5"/>
        <n v="1370"/>
        <n v="1933.3333333333333"/>
        <n v="2263.6363636363635"/>
        <n v="1269.2307692307693"/>
        <n v="1644.4444444444443"/>
        <n v="2871.4285714285716"/>
        <n v="1420"/>
        <n v="1800"/>
        <n v="2642.8571428571427"/>
        <n v="1792.8571428571429"/>
        <n v="2633.3333333333335"/>
        <n v="1316.6666666666667"/>
        <n v="1810"/>
        <n v="2770"/>
        <n v="1435.7142857142858"/>
        <n v="1536.3636363636363"/>
        <n v="2725"/>
        <n v="1458.8235294117646"/>
        <n v="1700"/>
        <n v="2587.5"/>
        <n v="1325"/>
        <n v="1681.25"/>
        <n v="2560"/>
        <n v="1338.4615384615386"/>
        <n v="1763.6363636363637"/>
        <n v="2654.5454545454545"/>
        <n v="1387.5"/>
        <n v="1575"/>
        <n v="2566.6666666666665"/>
        <n v="1427.7777777777778"/>
        <n v="1586.6666666666667"/>
        <n v="2511.1111111111113"/>
        <n v="1221.4285714285713"/>
        <n v="1652.9411764705883"/>
        <n v="2536.3636363636365"/>
        <n v="1286.6666666666667"/>
        <n v="1592.3076923076924"/>
        <n v="2575"/>
        <n v="1417.6470588235295"/>
        <n v="1507.1428571428571"/>
        <n v="2520"/>
        <n v="1365"/>
        <n v="1618.75"/>
        <n v="2480"/>
        <n v="1280"/>
      </sharedItems>
    </cacheField>
    <cacheField name="Dias (Data)" numFmtId="0" databaseField="0">
      <fieldGroup base="0">
        <rangePr groupBy="days" startDate="2026-01-15T00:00:00" endDate="2026-12-16T00:00:00"/>
        <groupItems count="368">
          <s v="&lt;15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6/12/2026"/>
        </groupItems>
      </fieldGroup>
    </cacheField>
    <cacheField name="Meses (Data)" numFmtId="0" databaseField="0">
      <fieldGroup base="0">
        <rangePr groupBy="months" startDate="2026-01-15T00:00:00" endDate="2026-12-16T00:00:00"/>
        <groupItems count="14">
          <s v="&lt;15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6/12/2026"/>
        </groupItems>
      </fieldGroup>
    </cacheField>
  </cacheFields>
  <extLst>
    <ext xmlns:x14="http://schemas.microsoft.com/office/spreadsheetml/2009/9/main" uri="{725AE2AE-9491-48be-B2B4-4EB974FC3084}">
      <x14:pivotCacheDefinition pivotCacheId="6591746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1"/>
    <x v="1"/>
    <x v="1"/>
    <x v="1"/>
    <x v="1"/>
    <x v="1"/>
  </r>
  <r>
    <x v="0"/>
    <x v="0"/>
    <x v="2"/>
    <x v="2"/>
    <x v="2"/>
    <x v="2"/>
    <x v="2"/>
    <x v="2"/>
    <x v="2"/>
    <x v="1"/>
    <x v="2"/>
    <x v="2"/>
    <x v="2"/>
    <x v="2"/>
  </r>
  <r>
    <x v="0"/>
    <x v="0"/>
    <x v="3"/>
    <x v="0"/>
    <x v="3"/>
    <x v="3"/>
    <x v="3"/>
    <x v="3"/>
    <x v="3"/>
    <x v="2"/>
    <x v="3"/>
    <x v="3"/>
    <x v="3"/>
    <x v="3"/>
  </r>
  <r>
    <x v="1"/>
    <x v="1"/>
    <x v="0"/>
    <x v="1"/>
    <x v="4"/>
    <x v="4"/>
    <x v="4"/>
    <x v="4"/>
    <x v="4"/>
    <x v="3"/>
    <x v="4"/>
    <x v="4"/>
    <x v="4"/>
    <x v="4"/>
  </r>
  <r>
    <x v="1"/>
    <x v="1"/>
    <x v="1"/>
    <x v="2"/>
    <x v="5"/>
    <x v="5"/>
    <x v="5"/>
    <x v="5"/>
    <x v="5"/>
    <x v="4"/>
    <x v="5"/>
    <x v="5"/>
    <x v="5"/>
    <x v="5"/>
  </r>
  <r>
    <x v="1"/>
    <x v="1"/>
    <x v="2"/>
    <x v="0"/>
    <x v="6"/>
    <x v="6"/>
    <x v="3"/>
    <x v="3"/>
    <x v="0"/>
    <x v="5"/>
    <x v="6"/>
    <x v="6"/>
    <x v="6"/>
    <x v="6"/>
  </r>
  <r>
    <x v="1"/>
    <x v="1"/>
    <x v="3"/>
    <x v="1"/>
    <x v="7"/>
    <x v="7"/>
    <x v="6"/>
    <x v="6"/>
    <x v="6"/>
    <x v="6"/>
    <x v="7"/>
    <x v="7"/>
    <x v="7"/>
    <x v="7"/>
  </r>
  <r>
    <x v="2"/>
    <x v="2"/>
    <x v="0"/>
    <x v="2"/>
    <x v="8"/>
    <x v="8"/>
    <x v="7"/>
    <x v="7"/>
    <x v="2"/>
    <x v="7"/>
    <x v="8"/>
    <x v="8"/>
    <x v="8"/>
    <x v="8"/>
  </r>
  <r>
    <x v="2"/>
    <x v="2"/>
    <x v="1"/>
    <x v="0"/>
    <x v="9"/>
    <x v="9"/>
    <x v="8"/>
    <x v="4"/>
    <x v="0"/>
    <x v="8"/>
    <x v="9"/>
    <x v="9"/>
    <x v="9"/>
    <x v="9"/>
  </r>
  <r>
    <x v="2"/>
    <x v="2"/>
    <x v="2"/>
    <x v="1"/>
    <x v="10"/>
    <x v="10"/>
    <x v="5"/>
    <x v="6"/>
    <x v="7"/>
    <x v="9"/>
    <x v="10"/>
    <x v="10"/>
    <x v="10"/>
    <x v="10"/>
  </r>
  <r>
    <x v="2"/>
    <x v="2"/>
    <x v="3"/>
    <x v="2"/>
    <x v="11"/>
    <x v="11"/>
    <x v="9"/>
    <x v="2"/>
    <x v="5"/>
    <x v="10"/>
    <x v="11"/>
    <x v="11"/>
    <x v="11"/>
    <x v="8"/>
  </r>
  <r>
    <x v="3"/>
    <x v="3"/>
    <x v="0"/>
    <x v="0"/>
    <x v="12"/>
    <x v="12"/>
    <x v="10"/>
    <x v="8"/>
    <x v="5"/>
    <x v="11"/>
    <x v="12"/>
    <x v="12"/>
    <x v="12"/>
    <x v="11"/>
  </r>
  <r>
    <x v="3"/>
    <x v="3"/>
    <x v="1"/>
    <x v="1"/>
    <x v="13"/>
    <x v="13"/>
    <x v="11"/>
    <x v="3"/>
    <x v="1"/>
    <x v="12"/>
    <x v="13"/>
    <x v="13"/>
    <x v="13"/>
    <x v="12"/>
  </r>
  <r>
    <x v="3"/>
    <x v="3"/>
    <x v="2"/>
    <x v="2"/>
    <x v="14"/>
    <x v="14"/>
    <x v="12"/>
    <x v="0"/>
    <x v="2"/>
    <x v="13"/>
    <x v="14"/>
    <x v="14"/>
    <x v="14"/>
    <x v="13"/>
  </r>
  <r>
    <x v="3"/>
    <x v="3"/>
    <x v="3"/>
    <x v="0"/>
    <x v="15"/>
    <x v="15"/>
    <x v="13"/>
    <x v="2"/>
    <x v="0"/>
    <x v="14"/>
    <x v="15"/>
    <x v="15"/>
    <x v="15"/>
    <x v="14"/>
  </r>
  <r>
    <x v="4"/>
    <x v="4"/>
    <x v="0"/>
    <x v="1"/>
    <x v="16"/>
    <x v="16"/>
    <x v="14"/>
    <x v="2"/>
    <x v="6"/>
    <x v="15"/>
    <x v="16"/>
    <x v="16"/>
    <x v="16"/>
    <x v="15"/>
  </r>
  <r>
    <x v="4"/>
    <x v="4"/>
    <x v="1"/>
    <x v="2"/>
    <x v="17"/>
    <x v="7"/>
    <x v="0"/>
    <x v="8"/>
    <x v="2"/>
    <x v="16"/>
    <x v="17"/>
    <x v="17"/>
    <x v="17"/>
    <x v="16"/>
  </r>
  <r>
    <x v="4"/>
    <x v="4"/>
    <x v="2"/>
    <x v="0"/>
    <x v="18"/>
    <x v="17"/>
    <x v="13"/>
    <x v="4"/>
    <x v="5"/>
    <x v="13"/>
    <x v="18"/>
    <x v="18"/>
    <x v="18"/>
    <x v="17"/>
  </r>
  <r>
    <x v="4"/>
    <x v="4"/>
    <x v="3"/>
    <x v="1"/>
    <x v="19"/>
    <x v="18"/>
    <x v="1"/>
    <x v="1"/>
    <x v="1"/>
    <x v="17"/>
    <x v="19"/>
    <x v="19"/>
    <x v="19"/>
    <x v="18"/>
  </r>
  <r>
    <x v="5"/>
    <x v="5"/>
    <x v="0"/>
    <x v="2"/>
    <x v="20"/>
    <x v="19"/>
    <x v="15"/>
    <x v="9"/>
    <x v="8"/>
    <x v="18"/>
    <x v="20"/>
    <x v="20"/>
    <x v="20"/>
    <x v="19"/>
  </r>
  <r>
    <x v="5"/>
    <x v="5"/>
    <x v="1"/>
    <x v="0"/>
    <x v="21"/>
    <x v="20"/>
    <x v="4"/>
    <x v="5"/>
    <x v="5"/>
    <x v="19"/>
    <x v="21"/>
    <x v="21"/>
    <x v="21"/>
    <x v="20"/>
  </r>
  <r>
    <x v="5"/>
    <x v="5"/>
    <x v="2"/>
    <x v="1"/>
    <x v="22"/>
    <x v="21"/>
    <x v="8"/>
    <x v="1"/>
    <x v="4"/>
    <x v="1"/>
    <x v="22"/>
    <x v="22"/>
    <x v="22"/>
    <x v="21"/>
  </r>
  <r>
    <x v="5"/>
    <x v="5"/>
    <x v="3"/>
    <x v="2"/>
    <x v="23"/>
    <x v="22"/>
    <x v="5"/>
    <x v="0"/>
    <x v="2"/>
    <x v="20"/>
    <x v="23"/>
    <x v="23"/>
    <x v="23"/>
    <x v="22"/>
  </r>
  <r>
    <x v="6"/>
    <x v="6"/>
    <x v="0"/>
    <x v="0"/>
    <x v="24"/>
    <x v="23"/>
    <x v="16"/>
    <x v="10"/>
    <x v="5"/>
    <x v="21"/>
    <x v="24"/>
    <x v="24"/>
    <x v="24"/>
    <x v="23"/>
  </r>
  <r>
    <x v="6"/>
    <x v="6"/>
    <x v="1"/>
    <x v="1"/>
    <x v="25"/>
    <x v="24"/>
    <x v="17"/>
    <x v="2"/>
    <x v="4"/>
    <x v="22"/>
    <x v="25"/>
    <x v="25"/>
    <x v="25"/>
    <x v="24"/>
  </r>
  <r>
    <x v="6"/>
    <x v="6"/>
    <x v="2"/>
    <x v="2"/>
    <x v="26"/>
    <x v="3"/>
    <x v="6"/>
    <x v="5"/>
    <x v="8"/>
    <x v="23"/>
    <x v="26"/>
    <x v="26"/>
    <x v="26"/>
    <x v="25"/>
  </r>
  <r>
    <x v="6"/>
    <x v="6"/>
    <x v="3"/>
    <x v="0"/>
    <x v="27"/>
    <x v="25"/>
    <x v="1"/>
    <x v="4"/>
    <x v="0"/>
    <x v="24"/>
    <x v="27"/>
    <x v="27"/>
    <x v="27"/>
    <x v="26"/>
  </r>
  <r>
    <x v="7"/>
    <x v="7"/>
    <x v="0"/>
    <x v="1"/>
    <x v="28"/>
    <x v="26"/>
    <x v="18"/>
    <x v="4"/>
    <x v="1"/>
    <x v="25"/>
    <x v="28"/>
    <x v="28"/>
    <x v="28"/>
    <x v="27"/>
  </r>
  <r>
    <x v="7"/>
    <x v="7"/>
    <x v="1"/>
    <x v="2"/>
    <x v="29"/>
    <x v="27"/>
    <x v="19"/>
    <x v="10"/>
    <x v="2"/>
    <x v="26"/>
    <x v="29"/>
    <x v="29"/>
    <x v="29"/>
    <x v="28"/>
  </r>
  <r>
    <x v="7"/>
    <x v="7"/>
    <x v="2"/>
    <x v="0"/>
    <x v="30"/>
    <x v="28"/>
    <x v="1"/>
    <x v="0"/>
    <x v="5"/>
    <x v="23"/>
    <x v="30"/>
    <x v="30"/>
    <x v="30"/>
    <x v="29"/>
  </r>
  <r>
    <x v="7"/>
    <x v="7"/>
    <x v="3"/>
    <x v="1"/>
    <x v="31"/>
    <x v="29"/>
    <x v="11"/>
    <x v="3"/>
    <x v="6"/>
    <x v="27"/>
    <x v="31"/>
    <x v="31"/>
    <x v="31"/>
    <x v="30"/>
  </r>
  <r>
    <x v="8"/>
    <x v="8"/>
    <x v="0"/>
    <x v="2"/>
    <x v="32"/>
    <x v="30"/>
    <x v="20"/>
    <x v="11"/>
    <x v="8"/>
    <x v="28"/>
    <x v="32"/>
    <x v="32"/>
    <x v="32"/>
    <x v="31"/>
  </r>
  <r>
    <x v="8"/>
    <x v="8"/>
    <x v="1"/>
    <x v="0"/>
    <x v="33"/>
    <x v="31"/>
    <x v="10"/>
    <x v="7"/>
    <x v="5"/>
    <x v="29"/>
    <x v="33"/>
    <x v="33"/>
    <x v="33"/>
    <x v="32"/>
  </r>
  <r>
    <x v="8"/>
    <x v="8"/>
    <x v="2"/>
    <x v="1"/>
    <x v="34"/>
    <x v="32"/>
    <x v="21"/>
    <x v="3"/>
    <x v="1"/>
    <x v="30"/>
    <x v="34"/>
    <x v="34"/>
    <x v="34"/>
    <x v="33"/>
  </r>
  <r>
    <x v="8"/>
    <x v="8"/>
    <x v="3"/>
    <x v="2"/>
    <x v="35"/>
    <x v="33"/>
    <x v="8"/>
    <x v="8"/>
    <x v="2"/>
    <x v="3"/>
    <x v="35"/>
    <x v="35"/>
    <x v="35"/>
    <x v="34"/>
  </r>
  <r>
    <x v="9"/>
    <x v="9"/>
    <x v="0"/>
    <x v="0"/>
    <x v="36"/>
    <x v="34"/>
    <x v="22"/>
    <x v="9"/>
    <x v="2"/>
    <x v="31"/>
    <x v="36"/>
    <x v="36"/>
    <x v="36"/>
    <x v="35"/>
  </r>
  <r>
    <x v="9"/>
    <x v="9"/>
    <x v="1"/>
    <x v="1"/>
    <x v="37"/>
    <x v="35"/>
    <x v="15"/>
    <x v="4"/>
    <x v="9"/>
    <x v="32"/>
    <x v="37"/>
    <x v="18"/>
    <x v="37"/>
    <x v="36"/>
  </r>
  <r>
    <x v="9"/>
    <x v="9"/>
    <x v="2"/>
    <x v="2"/>
    <x v="38"/>
    <x v="36"/>
    <x v="21"/>
    <x v="7"/>
    <x v="8"/>
    <x v="33"/>
    <x v="38"/>
    <x v="37"/>
    <x v="38"/>
    <x v="37"/>
  </r>
  <r>
    <x v="9"/>
    <x v="9"/>
    <x v="3"/>
    <x v="0"/>
    <x v="39"/>
    <x v="21"/>
    <x v="11"/>
    <x v="5"/>
    <x v="5"/>
    <x v="34"/>
    <x v="39"/>
    <x v="38"/>
    <x v="39"/>
    <x v="38"/>
  </r>
  <r>
    <x v="10"/>
    <x v="10"/>
    <x v="0"/>
    <x v="1"/>
    <x v="40"/>
    <x v="37"/>
    <x v="23"/>
    <x v="0"/>
    <x v="4"/>
    <x v="35"/>
    <x v="40"/>
    <x v="39"/>
    <x v="40"/>
    <x v="39"/>
  </r>
  <r>
    <x v="10"/>
    <x v="10"/>
    <x v="1"/>
    <x v="2"/>
    <x v="41"/>
    <x v="38"/>
    <x v="14"/>
    <x v="9"/>
    <x v="8"/>
    <x v="36"/>
    <x v="41"/>
    <x v="40"/>
    <x v="41"/>
    <x v="40"/>
  </r>
  <r>
    <x v="10"/>
    <x v="10"/>
    <x v="2"/>
    <x v="0"/>
    <x v="42"/>
    <x v="1"/>
    <x v="4"/>
    <x v="8"/>
    <x v="5"/>
    <x v="37"/>
    <x v="42"/>
    <x v="41"/>
    <x v="42"/>
    <x v="41"/>
  </r>
  <r>
    <x v="10"/>
    <x v="10"/>
    <x v="3"/>
    <x v="1"/>
    <x v="8"/>
    <x v="39"/>
    <x v="19"/>
    <x v="2"/>
    <x v="1"/>
    <x v="38"/>
    <x v="43"/>
    <x v="42"/>
    <x v="43"/>
    <x v="42"/>
  </r>
  <r>
    <x v="11"/>
    <x v="11"/>
    <x v="0"/>
    <x v="2"/>
    <x v="43"/>
    <x v="40"/>
    <x v="24"/>
    <x v="12"/>
    <x v="8"/>
    <x v="39"/>
    <x v="44"/>
    <x v="43"/>
    <x v="44"/>
    <x v="43"/>
  </r>
  <r>
    <x v="11"/>
    <x v="11"/>
    <x v="1"/>
    <x v="0"/>
    <x v="44"/>
    <x v="41"/>
    <x v="16"/>
    <x v="10"/>
    <x v="2"/>
    <x v="40"/>
    <x v="45"/>
    <x v="44"/>
    <x v="45"/>
    <x v="44"/>
  </r>
  <r>
    <x v="11"/>
    <x v="11"/>
    <x v="2"/>
    <x v="1"/>
    <x v="45"/>
    <x v="19"/>
    <x v="17"/>
    <x v="2"/>
    <x v="4"/>
    <x v="41"/>
    <x v="46"/>
    <x v="45"/>
    <x v="46"/>
    <x v="45"/>
  </r>
  <r>
    <x v="11"/>
    <x v="11"/>
    <x v="3"/>
    <x v="2"/>
    <x v="46"/>
    <x v="42"/>
    <x v="4"/>
    <x v="7"/>
    <x v="2"/>
    <x v="7"/>
    <x v="47"/>
    <x v="46"/>
    <x v="47"/>
    <x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D1467-8C66-4C0A-913A-FEC9E37E1FC4}" name="Eficiência operacional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6:C41" firstHeaderRow="0" firstDataRow="1" firstDataCol="1"/>
  <pivotFields count="16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44" showAll="0"/>
    <pivotField numFmtId="44" showAll="0"/>
    <pivotField numFmtId="44" showAll="0"/>
    <pivotField dataField="1" numFmtId="1" showAll="0"/>
    <pivotField dataField="1" showAll="0"/>
    <pivotField numFmtId="44" showAll="0"/>
    <pivotField numFmtId="10" showAll="0"/>
    <pivotField numFmtId="10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Prazo médio (dias)" fld="8" subtotal="average" baseField="2" baseItem="1" numFmtId="2"/>
    <dataField name="Soma de Quantidade de serviços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573F9-065A-499C-B612-1C425C4C375F}" name="Comparação com a meta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29:C34" firstHeaderRow="0" firstDataRow="1" firstDataCol="1"/>
  <pivotFields count="16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dataField="1" numFmtId="44" showAll="0"/>
    <pivotField numFmtId="44" showAll="0"/>
    <pivotField dataField="1" numFmtId="44" showAll="0"/>
    <pivotField numFmtId="1" showAll="0"/>
    <pivotField showAll="0"/>
    <pivotField numFmtId="44" showAll="0"/>
    <pivotField numFmtId="10" showAll="0"/>
    <pivotField numFmtId="10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Faturamento Total" fld="4" baseField="0" baseItem="0" numFmtId="44"/>
    <dataField name="Meta planejada" fld="6" baseField="0" baseItem="0" numFmtId="44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C90AD-E67C-4CB8-9499-12EA553FD696}" name="Desempenho por serviço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23:D27" firstHeaderRow="0" firstDataRow="1" firstDataCol="1"/>
  <pivotFields count="16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numFmtId="44" showAll="0"/>
    <pivotField dataField="1" numFmtId="44" showAll="0"/>
    <pivotField numFmtId="44" showAll="0"/>
    <pivotField numFmtId="1" showAll="0"/>
    <pivotField showAll="0"/>
    <pivotField dataField="1" numFmtId="44" showAll="0"/>
    <pivotField numFmtId="10" showAll="0"/>
    <pivotField numFmtId="10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aturamento Total" fld="4" baseField="0" baseItem="0" numFmtId="44"/>
    <dataField name="Custo total" fld="5" baseField="0" baseItem="0" numFmtId="44"/>
    <dataField name="Resultado total" fld="9" baseField="0" baseItem="0" numFmtId="4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14075-59FE-4CB5-967A-907FA82CDE71}" name="Evolução mensal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8:D21" firstHeaderRow="0" firstDataRow="1" firstDataCol="1"/>
  <pivotFields count="16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dataField="1" numFmtId="44" showAll="0">
      <items count="48">
        <item x="2"/>
        <item x="11"/>
        <item x="6"/>
        <item x="10"/>
        <item x="3"/>
        <item x="14"/>
        <item x="23"/>
        <item x="5"/>
        <item x="18"/>
        <item x="7"/>
        <item x="15"/>
        <item x="22"/>
        <item x="1"/>
        <item x="26"/>
        <item x="35"/>
        <item x="19"/>
        <item x="30"/>
        <item x="27"/>
        <item x="9"/>
        <item x="31"/>
        <item x="34"/>
        <item x="13"/>
        <item x="17"/>
        <item x="38"/>
        <item x="46"/>
        <item x="0"/>
        <item x="39"/>
        <item x="42"/>
        <item x="21"/>
        <item x="8"/>
        <item x="45"/>
        <item x="25"/>
        <item x="4"/>
        <item x="29"/>
        <item x="16"/>
        <item x="33"/>
        <item x="12"/>
        <item x="37"/>
        <item x="28"/>
        <item x="41"/>
        <item x="20"/>
        <item x="24"/>
        <item x="44"/>
        <item x="40"/>
        <item x="32"/>
        <item x="36"/>
        <item x="43"/>
        <item t="default"/>
      </items>
    </pivotField>
    <pivotField dataField="1" numFmtId="44" showAll="0">
      <items count="44">
        <item x="2"/>
        <item x="11"/>
        <item x="6"/>
        <item x="14"/>
        <item x="22"/>
        <item x="5"/>
        <item x="17"/>
        <item x="33"/>
        <item x="3"/>
        <item x="15"/>
        <item x="10"/>
        <item x="28"/>
        <item x="42"/>
        <item x="36"/>
        <item x="25"/>
        <item x="9"/>
        <item x="7"/>
        <item x="21"/>
        <item x="1"/>
        <item x="8"/>
        <item x="18"/>
        <item x="0"/>
        <item x="20"/>
        <item x="27"/>
        <item x="32"/>
        <item x="29"/>
        <item x="13"/>
        <item x="31"/>
        <item x="38"/>
        <item x="19"/>
        <item x="4"/>
        <item x="12"/>
        <item x="39"/>
        <item x="24"/>
        <item x="30"/>
        <item x="41"/>
        <item x="23"/>
        <item x="40"/>
        <item x="16"/>
        <item x="35"/>
        <item x="34"/>
        <item x="26"/>
        <item x="37"/>
        <item t="default"/>
      </items>
    </pivotField>
    <pivotField numFmtId="44" showAll="0">
      <items count="26">
        <item x="2"/>
        <item x="9"/>
        <item x="3"/>
        <item x="12"/>
        <item x="5"/>
        <item x="13"/>
        <item x="6"/>
        <item x="8"/>
        <item x="1"/>
        <item x="0"/>
        <item x="21"/>
        <item x="11"/>
        <item x="4"/>
        <item x="7"/>
        <item x="19"/>
        <item x="17"/>
        <item x="10"/>
        <item x="14"/>
        <item x="15"/>
        <item x="16"/>
        <item x="18"/>
        <item x="20"/>
        <item x="22"/>
        <item x="23"/>
        <item x="24"/>
        <item t="default"/>
      </items>
    </pivotField>
    <pivotField numFmtId="1" showAll="0">
      <items count="14">
        <item x="6"/>
        <item x="1"/>
        <item x="3"/>
        <item x="2"/>
        <item x="4"/>
        <item x="0"/>
        <item x="5"/>
        <item x="8"/>
        <item x="7"/>
        <item x="10"/>
        <item x="9"/>
        <item x="11"/>
        <item x="12"/>
        <item t="default"/>
      </items>
    </pivotField>
    <pivotField showAll="0">
      <items count="11">
        <item x="8"/>
        <item x="2"/>
        <item x="5"/>
        <item x="0"/>
        <item x="3"/>
        <item x="9"/>
        <item x="4"/>
        <item x="1"/>
        <item x="6"/>
        <item x="7"/>
        <item t="default"/>
      </items>
    </pivotField>
    <pivotField dataField="1" numFmtId="44" showAll="0">
      <items count="43">
        <item x="9"/>
        <item x="6"/>
        <item x="1"/>
        <item x="17"/>
        <item x="2"/>
        <item x="5"/>
        <item x="10"/>
        <item x="27"/>
        <item x="12"/>
        <item x="30"/>
        <item x="13"/>
        <item x="14"/>
        <item x="4"/>
        <item x="20"/>
        <item x="38"/>
        <item x="22"/>
        <item x="15"/>
        <item x="8"/>
        <item x="41"/>
        <item x="24"/>
        <item x="23"/>
        <item x="25"/>
        <item x="0"/>
        <item x="3"/>
        <item x="32"/>
        <item x="19"/>
        <item x="16"/>
        <item x="35"/>
        <item x="37"/>
        <item x="34"/>
        <item x="33"/>
        <item x="7"/>
        <item x="11"/>
        <item x="29"/>
        <item x="26"/>
        <item x="21"/>
        <item x="18"/>
        <item x="36"/>
        <item x="40"/>
        <item x="31"/>
        <item x="28"/>
        <item x="39"/>
        <item t="default"/>
      </items>
    </pivotField>
    <pivotField numFmtId="10" showAll="0">
      <items count="49">
        <item x="10"/>
        <item x="19"/>
        <item x="7"/>
        <item x="1"/>
        <item x="13"/>
        <item x="31"/>
        <item x="22"/>
        <item x="16"/>
        <item x="28"/>
        <item x="34"/>
        <item x="25"/>
        <item x="43"/>
        <item x="40"/>
        <item x="37"/>
        <item x="46"/>
        <item x="3"/>
        <item x="4"/>
        <item x="0"/>
        <item x="15"/>
        <item x="9"/>
        <item x="6"/>
        <item x="21"/>
        <item x="2"/>
        <item x="12"/>
        <item x="27"/>
        <item x="18"/>
        <item x="24"/>
        <item x="30"/>
        <item x="5"/>
        <item x="11"/>
        <item x="14"/>
        <item x="33"/>
        <item x="42"/>
        <item x="17"/>
        <item x="36"/>
        <item x="23"/>
        <item x="39"/>
        <item x="26"/>
        <item x="8"/>
        <item x="45"/>
        <item x="29"/>
        <item x="20"/>
        <item x="35"/>
        <item x="38"/>
        <item x="41"/>
        <item x="32"/>
        <item x="47"/>
        <item x="44"/>
        <item t="default"/>
      </items>
    </pivotField>
    <pivotField numFmtId="10" showAll="0">
      <items count="48">
        <item x="28"/>
        <item x="10"/>
        <item x="1"/>
        <item x="6"/>
        <item x="31"/>
        <item x="39"/>
        <item x="16"/>
        <item x="2"/>
        <item x="7"/>
        <item x="45"/>
        <item x="22"/>
        <item x="25"/>
        <item x="13"/>
        <item x="19"/>
        <item x="11"/>
        <item x="18"/>
        <item x="46"/>
        <item x="34"/>
        <item x="42"/>
        <item x="23"/>
        <item x="35"/>
        <item x="30"/>
        <item x="5"/>
        <item x="41"/>
        <item x="8"/>
        <item x="32"/>
        <item x="14"/>
        <item x="27"/>
        <item x="21"/>
        <item x="33"/>
        <item x="20"/>
        <item x="43"/>
        <item x="26"/>
        <item x="15"/>
        <item x="36"/>
        <item x="24"/>
        <item x="37"/>
        <item x="38"/>
        <item x="44"/>
        <item x="29"/>
        <item x="40"/>
        <item x="12"/>
        <item x="3"/>
        <item x="17"/>
        <item x="9"/>
        <item x="4"/>
        <item x="0"/>
        <item t="default"/>
      </items>
    </pivotField>
    <pivotField numFmtId="44" showAll="0">
      <items count="49">
        <item x="5"/>
        <item x="35"/>
        <item x="14"/>
        <item x="2"/>
        <item x="23"/>
        <item x="38"/>
        <item x="26"/>
        <item x="47"/>
        <item x="11"/>
        <item x="29"/>
        <item x="17"/>
        <item x="8"/>
        <item x="44"/>
        <item x="18"/>
        <item x="41"/>
        <item x="42"/>
        <item x="20"/>
        <item x="32"/>
        <item x="30"/>
        <item x="6"/>
        <item x="33"/>
        <item x="39"/>
        <item x="21"/>
        <item x="24"/>
        <item x="36"/>
        <item x="45"/>
        <item x="27"/>
        <item x="15"/>
        <item x="0"/>
        <item x="9"/>
        <item x="12"/>
        <item x="3"/>
        <item x="4"/>
        <item x="31"/>
        <item x="34"/>
        <item x="22"/>
        <item x="43"/>
        <item x="10"/>
        <item x="46"/>
        <item x="13"/>
        <item x="1"/>
        <item x="25"/>
        <item x="37"/>
        <item x="40"/>
        <item x="19"/>
        <item x="28"/>
        <item x="16"/>
        <item x="7"/>
        <item t="default"/>
      </items>
    </pivotField>
    <pivotField numFmtId="44" showAll="0">
      <items count="48">
        <item x="34"/>
        <item x="5"/>
        <item x="46"/>
        <item x="37"/>
        <item x="13"/>
        <item x="22"/>
        <item x="25"/>
        <item x="43"/>
        <item x="2"/>
        <item x="28"/>
        <item x="40"/>
        <item x="8"/>
        <item x="31"/>
        <item x="16"/>
        <item x="19"/>
        <item x="41"/>
        <item x="17"/>
        <item x="29"/>
        <item x="32"/>
        <item x="38"/>
        <item x="44"/>
        <item x="6"/>
        <item x="35"/>
        <item x="23"/>
        <item x="20"/>
        <item x="26"/>
        <item x="11"/>
        <item x="9"/>
        <item x="14"/>
        <item x="0"/>
        <item x="3"/>
        <item x="4"/>
        <item x="45"/>
        <item x="33"/>
        <item x="42"/>
        <item x="36"/>
        <item x="24"/>
        <item x="30"/>
        <item x="39"/>
        <item x="21"/>
        <item x="12"/>
        <item x="1"/>
        <item x="10"/>
        <item x="27"/>
        <item x="18"/>
        <item x="15"/>
        <item x="7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5"/>
    <field x="14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aturamento Total" fld="4" baseField="0" baseItem="0" numFmtId="44"/>
    <dataField name="Custo total" fld="5" baseField="0" baseItem="0" numFmtId="44"/>
    <dataField name="Resultado total" fld="9" baseField="0" baseItem="0" numFmtId="4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AFBCB-196A-4DC7-B8F6-4237492F8AEB}" name="Desempenho Financeiro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1:D6" firstHeaderRow="0" firstDataRow="1" firstDataCol="1"/>
  <pivotFields count="16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numFmtId="44" showAll="0"/>
    <pivotField dataField="1" numFmtId="44" showAll="0"/>
    <pivotField numFmtId="44" showAll="0"/>
    <pivotField numFmtId="1" showAll="0"/>
    <pivotField showAll="0"/>
    <pivotField dataField="1" numFmtId="44" showAll="0"/>
    <pivotField numFmtId="10" showAll="0"/>
    <pivotField numFmtId="10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aturamento Total" fld="4" baseField="2" baseItem="0" numFmtId="44"/>
    <dataField name="Custo total" fld="5" baseField="0" baseItem="0" numFmtId="44"/>
    <dataField name="Resultado total" fld="9" baseField="0" baseItem="0" numFmtId="4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C3404-4078-4A31-BA3C-9BD1D8A8A5F1}" name="Tabela dinâmica7" cacheId="16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6" firstHeaderRow="1" firstDataRow="1" firstDataCol="1"/>
  <pivotFields count="16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dataField="1" numFmtId="44" showAll="0"/>
    <pivotField dataField="1" numFmtId="44" showAll="0"/>
    <pivotField dataField="1" numFmtId="44" showAll="0"/>
    <pivotField dataField="1" numFmtId="1" showAll="0"/>
    <pivotField showAll="0"/>
    <pivotField dataField="1" numFmtId="44" showAll="0"/>
    <pivotField numFmtId="10" showAll="0"/>
    <pivotField numFmtId="10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Soma de Faturamento" fld="4" baseField="0" baseItem="0" numFmtId="44"/>
    <dataField name="Soma de Custo" fld="5" baseField="0" baseItem="0" numFmtId="44"/>
    <dataField name="Soma de Resultado" fld="9" baseField="0" baseItem="0" numFmtId="44"/>
    <dataField name="Soma de Meta de faturamento" fld="6" baseField="0" baseItem="0" numFmtId="44"/>
    <dataField name="Soma de Quantidade de serviços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ilial" xr10:uid="{5A761637-DAAA-45D0-89C9-248F0A63CBD7}" sourceName="Filial">
  <pivotTables>
    <pivotTable tabId="2" name="Evolução mensal"/>
  </pivotTables>
  <data>
    <tabular pivotCacheId="659174604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de_serviço" xr10:uid="{6FCD8D4A-04CB-466A-84E0-325CFE5142F8}" sourceName="Tipo de serviço">
  <pivotTables>
    <pivotTable tabId="2" name="Evolução mensal"/>
  </pivotTables>
  <data>
    <tabular pivotCacheId="659174604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ial" xr10:uid="{A0BE4135-1212-484C-B7DB-6EABA0D36934}" cache="SegmentaçãodeDados_Filial" caption="Filial" style="SlicerStyleDark1" rowHeight="251883"/>
  <slicer name="Tipo de serviço" xr10:uid="{40479A4C-5148-44AA-8198-200766CE70F0}" cache="SegmentaçãodeDados_Tipo_de_serviço" caption="Tipo de serviço" style="SlicerStyleDark1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1A39E0-4664-45B8-B1D9-8CC2E024717D}" name="BaseFinanceira" displayName="BaseFinanceira" ref="A1:N49" totalsRowShown="0" headerRowDxfId="15" dataDxfId="14">
  <autoFilter ref="A1:N49" xr:uid="{E71A39E0-4664-45B8-B1D9-8CC2E024717D}"/>
  <tableColumns count="14">
    <tableColumn id="1" xr3:uid="{C75F4DE5-FC9C-47FC-BC91-E11F29E34274}" name="Data" dataDxfId="13"/>
    <tableColumn id="2" xr3:uid="{7E1D5994-5094-4D10-AD7B-D8A73B8EB6EE}" name="Mês" dataDxfId="12"/>
    <tableColumn id="3" xr3:uid="{4396BC06-9BBD-4F27-A798-2C384DA2FDE9}" name="Filial" dataDxfId="11"/>
    <tableColumn id="4" xr3:uid="{038313EB-E3CB-433C-9F81-AE0F83EDE8E4}" name="Tipo de serviço" dataDxfId="10"/>
    <tableColumn id="5" xr3:uid="{CD23E980-546B-4473-8544-9DE59B224518}" name="Faturamento" dataDxfId="9" dataCellStyle="Moeda"/>
    <tableColumn id="6" xr3:uid="{5B6D8F1C-15E9-43E3-AF89-C4FDDB62FCF8}" name="Custo" dataDxfId="8" dataCellStyle="Moeda"/>
    <tableColumn id="7" xr3:uid="{843CD3C9-3284-4207-8029-7047CC776907}" name="Meta de faturamento" dataDxfId="7" dataCellStyle="Moeda"/>
    <tableColumn id="8" xr3:uid="{9928014C-65EE-4FCE-881B-2EC8FC2B4A9F}" name="Quantidade de serviços" dataDxfId="6"/>
    <tableColumn id="9" xr3:uid="{8C36A1E1-8FAB-49D9-AC2B-BF178C7818DD}" name="Prazo médio (dias)" dataDxfId="5"/>
    <tableColumn id="11" xr3:uid="{511B7469-B815-41B4-BEF4-460C58FA7C30}" name="Resultado" dataDxfId="4">
      <calculatedColumnFormula>E2-F2</calculatedColumnFormula>
    </tableColumn>
    <tableColumn id="12" xr3:uid="{DEE7819F-12D1-40D6-875D-CE0AD0A33EB4}" name="Margem" dataDxfId="3" dataCellStyle="Porcentagem">
      <calculatedColumnFormula>IFERROR(J2/E2,0)</calculatedColumnFormula>
    </tableColumn>
    <tableColumn id="13" xr3:uid="{DD1A1391-C217-479E-9790-2DC5AD7F93EA}" name="Atingimento da meta" dataDxfId="2" dataCellStyle="Porcentagem">
      <calculatedColumnFormula>IFERROR(E2/G2,0)</calculatedColumnFormula>
    </tableColumn>
    <tableColumn id="14" xr3:uid="{5AE8A263-5A1F-4832-8831-99B8320A93CC}" name="Ticket médio" dataDxfId="1" dataCellStyle="Moeda">
      <calculatedColumnFormula>IFERROR(E2/H2,0)</calculatedColumnFormula>
    </tableColumn>
    <tableColumn id="15" xr3:uid="{EF72F57D-3875-4A93-9CA2-6A385098E981}" name="Custo médio por serviço" dataDxfId="0" dataCellStyle="Moeda">
      <calculatedColumnFormula>IFERROR(F2/H2,0)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E91B6-8213-49BA-97F2-BE8E8105CAE5}">
  <dimension ref="A1:D41"/>
  <sheetViews>
    <sheetView topLeftCell="A8" zoomScale="70" zoomScaleNormal="70" workbookViewId="0">
      <selection activeCell="B16" sqref="B16"/>
    </sheetView>
  </sheetViews>
  <sheetFormatPr defaultRowHeight="14.5" x14ac:dyDescent="0.35"/>
  <cols>
    <col min="1" max="1" width="17.90625" bestFit="1" customWidth="1"/>
    <col min="2" max="2" width="16.08984375" bestFit="1" customWidth="1"/>
    <col min="3" max="3" width="15.36328125" bestFit="1" customWidth="1"/>
    <col min="4" max="4" width="13.81640625" bestFit="1" customWidth="1"/>
  </cols>
  <sheetData>
    <row r="1" spans="1:4" x14ac:dyDescent="0.35">
      <c r="A1" s="13" t="s">
        <v>33</v>
      </c>
      <c r="B1" t="s">
        <v>53</v>
      </c>
      <c r="C1" t="s">
        <v>54</v>
      </c>
      <c r="D1" t="s">
        <v>55</v>
      </c>
    </row>
    <row r="2" spans="1:4" x14ac:dyDescent="0.35">
      <c r="A2" s="1" t="s">
        <v>19</v>
      </c>
      <c r="B2" s="14">
        <v>358300</v>
      </c>
      <c r="C2" s="14">
        <v>224500</v>
      </c>
      <c r="D2" s="14">
        <v>133800</v>
      </c>
    </row>
    <row r="3" spans="1:4" x14ac:dyDescent="0.35">
      <c r="A3" s="1" t="s">
        <v>17</v>
      </c>
      <c r="B3" s="14">
        <v>439900</v>
      </c>
      <c r="C3" s="14">
        <v>272800</v>
      </c>
      <c r="D3" s="14">
        <v>167100</v>
      </c>
    </row>
    <row r="4" spans="1:4" x14ac:dyDescent="0.35">
      <c r="A4" s="1" t="s">
        <v>21</v>
      </c>
      <c r="B4" s="14">
        <v>367900</v>
      </c>
      <c r="C4" s="14">
        <v>232200</v>
      </c>
      <c r="D4" s="14">
        <v>135700</v>
      </c>
    </row>
    <row r="5" spans="1:4" x14ac:dyDescent="0.35">
      <c r="A5" s="1" t="s">
        <v>4</v>
      </c>
      <c r="B5" s="14">
        <v>510900</v>
      </c>
      <c r="C5" s="14">
        <v>313900</v>
      </c>
      <c r="D5" s="14">
        <v>197000</v>
      </c>
    </row>
    <row r="6" spans="1:4" x14ac:dyDescent="0.35">
      <c r="A6" s="1" t="s">
        <v>34</v>
      </c>
      <c r="B6" s="14">
        <v>1677000</v>
      </c>
      <c r="C6" s="14">
        <v>1043400</v>
      </c>
      <c r="D6" s="14">
        <v>633600</v>
      </c>
    </row>
    <row r="8" spans="1:4" x14ac:dyDescent="0.35">
      <c r="A8" s="13" t="s">
        <v>33</v>
      </c>
      <c r="B8" t="s">
        <v>53</v>
      </c>
      <c r="C8" t="s">
        <v>54</v>
      </c>
      <c r="D8" t="s">
        <v>55</v>
      </c>
    </row>
    <row r="9" spans="1:4" x14ac:dyDescent="0.35">
      <c r="A9" s="1" t="s">
        <v>38</v>
      </c>
      <c r="B9" s="14">
        <v>113700</v>
      </c>
      <c r="C9" s="14">
        <v>74200</v>
      </c>
      <c r="D9" s="14">
        <v>39500</v>
      </c>
    </row>
    <row r="10" spans="1:4" x14ac:dyDescent="0.35">
      <c r="A10" s="1" t="s">
        <v>39</v>
      </c>
      <c r="B10" s="14">
        <v>118200</v>
      </c>
      <c r="C10" s="14">
        <v>76300</v>
      </c>
      <c r="D10" s="14">
        <v>41900</v>
      </c>
    </row>
    <row r="11" spans="1:4" x14ac:dyDescent="0.35">
      <c r="A11" s="1" t="s">
        <v>40</v>
      </c>
      <c r="B11" s="14">
        <v>118700</v>
      </c>
      <c r="C11" s="14">
        <v>73800</v>
      </c>
      <c r="D11" s="14">
        <v>44900</v>
      </c>
    </row>
    <row r="12" spans="1:4" x14ac:dyDescent="0.35">
      <c r="A12" s="1" t="s">
        <v>41</v>
      </c>
      <c r="B12" s="14">
        <v>130500</v>
      </c>
      <c r="C12" s="14">
        <v>82700</v>
      </c>
      <c r="D12" s="14">
        <v>47800</v>
      </c>
    </row>
    <row r="13" spans="1:4" x14ac:dyDescent="0.35">
      <c r="A13" s="1" t="s">
        <v>42</v>
      </c>
      <c r="B13" s="14">
        <v>132400</v>
      </c>
      <c r="C13" s="14">
        <v>86500</v>
      </c>
      <c r="D13" s="14">
        <v>45900</v>
      </c>
    </row>
    <row r="14" spans="1:4" x14ac:dyDescent="0.35">
      <c r="A14" s="1" t="s">
        <v>43</v>
      </c>
      <c r="B14" s="14">
        <v>136200</v>
      </c>
      <c r="C14" s="14">
        <v>83500</v>
      </c>
      <c r="D14" s="14">
        <v>52700</v>
      </c>
    </row>
    <row r="15" spans="1:4" x14ac:dyDescent="0.35">
      <c r="A15" s="1" t="s">
        <v>44</v>
      </c>
      <c r="B15" s="14">
        <v>144200</v>
      </c>
      <c r="C15" s="14">
        <v>89300</v>
      </c>
      <c r="D15" s="14">
        <v>54900</v>
      </c>
    </row>
    <row r="16" spans="1:4" x14ac:dyDescent="0.35">
      <c r="A16" s="1" t="s">
        <v>45</v>
      </c>
      <c r="B16" s="14">
        <v>145400</v>
      </c>
      <c r="C16" s="14">
        <v>93400</v>
      </c>
      <c r="D16" s="14">
        <v>52000</v>
      </c>
    </row>
    <row r="17" spans="1:4" x14ac:dyDescent="0.35">
      <c r="A17" s="1" t="s">
        <v>46</v>
      </c>
      <c r="B17" s="14">
        <v>149800</v>
      </c>
      <c r="C17" s="14">
        <v>89200</v>
      </c>
      <c r="D17" s="14">
        <v>60600</v>
      </c>
    </row>
    <row r="18" spans="1:4" x14ac:dyDescent="0.35">
      <c r="A18" s="1" t="s">
        <v>47</v>
      </c>
      <c r="B18" s="14">
        <v>159600</v>
      </c>
      <c r="C18" s="14">
        <v>96000</v>
      </c>
      <c r="D18" s="14">
        <v>63600</v>
      </c>
    </row>
    <row r="19" spans="1:4" x14ac:dyDescent="0.35">
      <c r="A19" s="1" t="s">
        <v>48</v>
      </c>
      <c r="B19" s="14">
        <v>161400</v>
      </c>
      <c r="C19" s="14">
        <v>101300</v>
      </c>
      <c r="D19" s="14">
        <v>60100</v>
      </c>
    </row>
    <row r="20" spans="1:4" x14ac:dyDescent="0.35">
      <c r="A20" s="1" t="s">
        <v>49</v>
      </c>
      <c r="B20" s="14">
        <v>166900</v>
      </c>
      <c r="C20" s="14">
        <v>97200</v>
      </c>
      <c r="D20" s="14">
        <v>69700</v>
      </c>
    </row>
    <row r="21" spans="1:4" x14ac:dyDescent="0.35">
      <c r="A21" s="1" t="s">
        <v>34</v>
      </c>
      <c r="B21" s="14">
        <v>1677000</v>
      </c>
      <c r="C21" s="14">
        <v>1043400</v>
      </c>
      <c r="D21" s="14">
        <v>633600</v>
      </c>
    </row>
    <row r="23" spans="1:4" x14ac:dyDescent="0.35">
      <c r="A23" s="13" t="s">
        <v>33</v>
      </c>
      <c r="B23" t="s">
        <v>53</v>
      </c>
      <c r="C23" t="s">
        <v>54</v>
      </c>
      <c r="D23" t="s">
        <v>55</v>
      </c>
    </row>
    <row r="24" spans="1:4" x14ac:dyDescent="0.35">
      <c r="A24" s="1" t="s">
        <v>20</v>
      </c>
      <c r="B24" s="14">
        <v>550100</v>
      </c>
      <c r="C24" s="14">
        <v>314600</v>
      </c>
      <c r="D24" s="14">
        <v>235500</v>
      </c>
    </row>
    <row r="25" spans="1:4" x14ac:dyDescent="0.35">
      <c r="A25" s="1" t="s">
        <v>18</v>
      </c>
      <c r="B25" s="14">
        <v>562000</v>
      </c>
      <c r="C25" s="14">
        <v>387800</v>
      </c>
      <c r="D25" s="14">
        <v>174200</v>
      </c>
    </row>
    <row r="26" spans="1:4" x14ac:dyDescent="0.35">
      <c r="A26" s="1" t="s">
        <v>6</v>
      </c>
      <c r="B26" s="14">
        <v>564900</v>
      </c>
      <c r="C26" s="14">
        <v>341000</v>
      </c>
      <c r="D26" s="14">
        <v>223900</v>
      </c>
    </row>
    <row r="27" spans="1:4" x14ac:dyDescent="0.35">
      <c r="A27" s="1" t="s">
        <v>34</v>
      </c>
      <c r="B27" s="14">
        <v>1677000</v>
      </c>
      <c r="C27" s="14">
        <v>1043400</v>
      </c>
      <c r="D27" s="14">
        <v>633600</v>
      </c>
    </row>
    <row r="29" spans="1:4" x14ac:dyDescent="0.35">
      <c r="A29" s="13" t="s">
        <v>33</v>
      </c>
      <c r="B29" t="s">
        <v>53</v>
      </c>
      <c r="C29" t="s">
        <v>56</v>
      </c>
    </row>
    <row r="30" spans="1:4" x14ac:dyDescent="0.35">
      <c r="A30" s="1" t="s">
        <v>19</v>
      </c>
      <c r="B30" s="14">
        <v>358300</v>
      </c>
      <c r="C30" s="14">
        <v>358000</v>
      </c>
    </row>
    <row r="31" spans="1:4" x14ac:dyDescent="0.35">
      <c r="A31" s="1" t="s">
        <v>17</v>
      </c>
      <c r="B31" s="14">
        <v>439900</v>
      </c>
      <c r="C31" s="14">
        <v>429000</v>
      </c>
    </row>
    <row r="32" spans="1:4" x14ac:dyDescent="0.35">
      <c r="A32" s="1" t="s">
        <v>21</v>
      </c>
      <c r="B32" s="14">
        <v>367900</v>
      </c>
      <c r="C32" s="14">
        <v>365000</v>
      </c>
    </row>
    <row r="33" spans="1:3" x14ac:dyDescent="0.35">
      <c r="A33" s="1" t="s">
        <v>4</v>
      </c>
      <c r="B33" s="14">
        <v>510900</v>
      </c>
      <c r="C33" s="14">
        <v>498000</v>
      </c>
    </row>
    <row r="34" spans="1:3" x14ac:dyDescent="0.35">
      <c r="A34" s="1" t="s">
        <v>34</v>
      </c>
      <c r="B34" s="14">
        <v>1677000</v>
      </c>
      <c r="C34" s="14">
        <v>1650000</v>
      </c>
    </row>
    <row r="36" spans="1:3" x14ac:dyDescent="0.35">
      <c r="A36" s="13" t="s">
        <v>33</v>
      </c>
      <c r="B36" t="s">
        <v>52</v>
      </c>
      <c r="C36" t="s">
        <v>51</v>
      </c>
    </row>
    <row r="37" spans="1:3" x14ac:dyDescent="0.35">
      <c r="A37" s="1" t="s">
        <v>19</v>
      </c>
      <c r="B37" s="16">
        <v>8.25</v>
      </c>
      <c r="C37" s="15">
        <v>130</v>
      </c>
    </row>
    <row r="38" spans="1:3" x14ac:dyDescent="0.35">
      <c r="A38" s="1" t="s">
        <v>17</v>
      </c>
      <c r="B38" s="16">
        <v>8.0833333333333339</v>
      </c>
      <c r="C38" s="15">
        <v>153</v>
      </c>
    </row>
    <row r="39" spans="1:3" x14ac:dyDescent="0.35">
      <c r="A39" s="1" t="s">
        <v>21</v>
      </c>
      <c r="B39" s="16">
        <v>8.9166666666666661</v>
      </c>
      <c r="C39" s="15">
        <v>128</v>
      </c>
    </row>
    <row r="40" spans="1:3" x14ac:dyDescent="0.35">
      <c r="A40" s="1" t="s">
        <v>4</v>
      </c>
      <c r="B40" s="16">
        <v>8</v>
      </c>
      <c r="C40" s="15">
        <v>173</v>
      </c>
    </row>
    <row r="41" spans="1:3" x14ac:dyDescent="0.35">
      <c r="A41" s="1" t="s">
        <v>34</v>
      </c>
      <c r="B41" s="16">
        <v>8.3125</v>
      </c>
      <c r="C41" s="15">
        <v>584</v>
      </c>
    </row>
  </sheetData>
  <pageMargins left="0.511811024" right="0.511811024" top="0.78740157499999996" bottom="0.78740157499999996" header="0.31496062000000002" footer="0.31496062000000002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0EF89-9448-49F8-99DD-1DFED88F1DBC}">
  <sheetPr>
    <pageSetUpPr fitToPage="1"/>
  </sheetPr>
  <dimension ref="A1:V49"/>
  <sheetViews>
    <sheetView showFormulas="1" showGridLines="0" tabSelected="1" zoomScale="40" zoomScaleNormal="40" workbookViewId="0">
      <selection activeCell="Y30" sqref="Y30"/>
    </sheetView>
  </sheetViews>
  <sheetFormatPr defaultRowHeight="14.5" x14ac:dyDescent="0.35"/>
  <sheetData>
    <row r="1" spans="1:22" ht="15" thickBot="1" x14ac:dyDescent="0.4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ht="14.5" customHeight="1" x14ac:dyDescent="0.35">
      <c r="A2" s="17"/>
      <c r="B2" s="17"/>
      <c r="C2" s="18" t="s">
        <v>57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ht="14.5" customHeight="1" x14ac:dyDescent="0.35">
      <c r="A3" s="17"/>
      <c r="B3" s="17"/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spans="1:22" ht="14.5" customHeight="1" x14ac:dyDescent="0.35">
      <c r="A4" s="17"/>
      <c r="B4" s="17"/>
      <c r="C4" s="20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</row>
    <row r="5" spans="1:22" ht="15" customHeight="1" thickBot="1" x14ac:dyDescent="0.4">
      <c r="A5" s="17"/>
      <c r="B5" s="17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</row>
    <row r="6" spans="1:22" x14ac:dyDescent="0.3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x14ac:dyDescent="0.3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x14ac:dyDescent="0.3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x14ac:dyDescent="0.3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 x14ac:dyDescent="0.3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x14ac:dyDescent="0.3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x14ac:dyDescent="0.3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x14ac:dyDescent="0.3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x14ac:dyDescent="0.3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x14ac:dyDescent="0.3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x14ac:dyDescent="0.3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x14ac:dyDescent="0.3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x14ac:dyDescent="0.3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x14ac:dyDescent="0.3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x14ac:dyDescent="0.3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x14ac:dyDescent="0.3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spans="1:22" x14ac:dyDescent="0.3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spans="1:22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spans="1:22" x14ac:dyDescent="0.3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spans="1:22" x14ac:dyDescent="0.3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spans="1:22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spans="1:22" x14ac:dyDescent="0.3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spans="1:22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1:22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1:22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spans="1:22" x14ac:dyDescent="0.3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spans="1:22" x14ac:dyDescent="0.3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spans="1:22" x14ac:dyDescent="0.3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spans="1:22" x14ac:dyDescent="0.3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spans="1:22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spans="1:22" x14ac:dyDescent="0.3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spans="1:22" x14ac:dyDescent="0.3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spans="1:22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1:22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1:22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spans="1:22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spans="1:22" x14ac:dyDescent="0.3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 spans="1:22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spans="1:22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spans="1:22" x14ac:dyDescent="0.3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spans="1:22" x14ac:dyDescent="0.3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spans="1:22" x14ac:dyDescent="0.3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  <row r="48" spans="1:22" x14ac:dyDescent="0.3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spans="1:22" x14ac:dyDescent="0.3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</sheetData>
  <mergeCells count="1">
    <mergeCell ref="C2:V5"/>
  </mergeCells>
  <pageMargins left="0.511811024" right="0.511811024" top="0.78740157499999996" bottom="0.78740157499999996" header="0.31496062000000002" footer="0.31496062000000002"/>
  <pageSetup paperSize="9" scale="33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7FCF-2C63-468B-863F-10D77CD39A5B}">
  <dimension ref="A1:N49"/>
  <sheetViews>
    <sheetView workbookViewId="0">
      <selection sqref="A1:N49"/>
    </sheetView>
  </sheetViews>
  <sheetFormatPr defaultRowHeight="14.5" x14ac:dyDescent="0.35"/>
  <sheetData>
    <row r="1" spans="1:14" x14ac:dyDescent="0.35">
      <c r="A1" s="5" t="s">
        <v>0</v>
      </c>
      <c r="B1" s="5" t="s">
        <v>1</v>
      </c>
      <c r="C1" s="5" t="s">
        <v>3</v>
      </c>
      <c r="D1" s="5" t="s">
        <v>5</v>
      </c>
      <c r="E1" s="6" t="s">
        <v>7</v>
      </c>
      <c r="F1" s="6" t="s">
        <v>8</v>
      </c>
      <c r="G1" s="6" t="s">
        <v>9</v>
      </c>
      <c r="H1" s="8" t="s">
        <v>10</v>
      </c>
      <c r="I1" s="5" t="s">
        <v>16</v>
      </c>
      <c r="J1" s="5" t="s">
        <v>11</v>
      </c>
      <c r="K1" s="11" t="s">
        <v>12</v>
      </c>
      <c r="L1" s="11" t="s">
        <v>13</v>
      </c>
      <c r="M1" s="6" t="s">
        <v>14</v>
      </c>
      <c r="N1" s="6" t="s">
        <v>15</v>
      </c>
    </row>
    <row r="2" spans="1:14" x14ac:dyDescent="0.35">
      <c r="A2" s="3">
        <v>46037</v>
      </c>
      <c r="B2" s="2" t="s">
        <v>2</v>
      </c>
      <c r="C2" s="2" t="s">
        <v>4</v>
      </c>
      <c r="D2" s="2" t="s">
        <v>6</v>
      </c>
      <c r="E2" s="7">
        <v>35000</v>
      </c>
      <c r="F2" s="7">
        <v>22000</v>
      </c>
      <c r="G2" s="7">
        <v>32000</v>
      </c>
      <c r="H2" s="9">
        <v>12</v>
      </c>
      <c r="I2" s="2">
        <v>8</v>
      </c>
      <c r="J2" s="10">
        <f>E2-F2</f>
        <v>13000</v>
      </c>
      <c r="K2" s="4">
        <f>IFERROR(J2/E2,0)</f>
        <v>0.37142857142857144</v>
      </c>
      <c r="L2" s="4">
        <f>IFERROR(E2/G2,0)</f>
        <v>1.09375</v>
      </c>
      <c r="M2" s="7">
        <f>IFERROR(E2/H2,0)</f>
        <v>2916.6666666666665</v>
      </c>
      <c r="N2" s="7">
        <f>IFERROR(F2/H2,0)</f>
        <v>1833.3333333333333</v>
      </c>
    </row>
    <row r="3" spans="1:14" x14ac:dyDescent="0.35">
      <c r="A3" s="3">
        <v>46037</v>
      </c>
      <c r="B3" s="2" t="s">
        <v>2</v>
      </c>
      <c r="C3" s="2" t="s">
        <v>17</v>
      </c>
      <c r="D3" s="2" t="s">
        <v>18</v>
      </c>
      <c r="E3" s="7">
        <v>29800</v>
      </c>
      <c r="F3" s="7">
        <v>21100</v>
      </c>
      <c r="G3" s="7">
        <v>31000</v>
      </c>
      <c r="H3" s="9">
        <v>8</v>
      </c>
      <c r="I3" s="2">
        <v>12</v>
      </c>
      <c r="J3" s="10">
        <f>E3-F3</f>
        <v>8700</v>
      </c>
      <c r="K3" s="4">
        <f>IFERROR(J3/E3,0)</f>
        <v>0.29194630872483224</v>
      </c>
      <c r="L3" s="4">
        <f>IFERROR(E3/G3,0)</f>
        <v>0.96129032258064517</v>
      </c>
      <c r="M3" s="7">
        <f>IFERROR(E3/H3,0)</f>
        <v>3725</v>
      </c>
      <c r="N3" s="7">
        <f>IFERROR(F3/H3,0)</f>
        <v>2637.5</v>
      </c>
    </row>
    <row r="4" spans="1:14" x14ac:dyDescent="0.35">
      <c r="A4" s="3">
        <v>46037</v>
      </c>
      <c r="B4" s="2" t="s">
        <v>2</v>
      </c>
      <c r="C4" s="2" t="s">
        <v>19</v>
      </c>
      <c r="D4" s="2" t="s">
        <v>20</v>
      </c>
      <c r="E4" s="7">
        <v>22400</v>
      </c>
      <c r="F4" s="7">
        <v>13700</v>
      </c>
      <c r="G4" s="7">
        <v>23000</v>
      </c>
      <c r="H4" s="9">
        <v>10</v>
      </c>
      <c r="I4" s="2">
        <v>6</v>
      </c>
      <c r="J4" s="10">
        <f>E4-F4</f>
        <v>8700</v>
      </c>
      <c r="K4" s="4">
        <f>IFERROR(J4/E4,0)</f>
        <v>0.38839285714285715</v>
      </c>
      <c r="L4" s="4">
        <f>IFERROR(E4/G4,0)</f>
        <v>0.97391304347826091</v>
      </c>
      <c r="M4" s="7">
        <f>IFERROR(E4/H4,0)</f>
        <v>2240</v>
      </c>
      <c r="N4" s="7">
        <f>IFERROR(F4/H4,0)</f>
        <v>1370</v>
      </c>
    </row>
    <row r="5" spans="1:14" x14ac:dyDescent="0.35">
      <c r="A5" s="3">
        <v>46037</v>
      </c>
      <c r="B5" s="2" t="s">
        <v>2</v>
      </c>
      <c r="C5" s="2" t="s">
        <v>21</v>
      </c>
      <c r="D5" s="2" t="s">
        <v>6</v>
      </c>
      <c r="E5" s="7">
        <v>26500</v>
      </c>
      <c r="F5" s="7">
        <v>17400</v>
      </c>
      <c r="G5" s="7">
        <v>25000</v>
      </c>
      <c r="H5" s="9">
        <v>9</v>
      </c>
      <c r="I5" s="2">
        <v>9</v>
      </c>
      <c r="J5" s="10">
        <f>E5-F5</f>
        <v>9100</v>
      </c>
      <c r="K5" s="4">
        <f>IFERROR(J5/E5,0)</f>
        <v>0.34339622641509432</v>
      </c>
      <c r="L5" s="4">
        <f>IFERROR(E5/G5,0)</f>
        <v>1.06</v>
      </c>
      <c r="M5" s="7">
        <f>IFERROR(E5/H5,0)</f>
        <v>2944.4444444444443</v>
      </c>
      <c r="N5" s="7">
        <f>IFERROR(F5/H5,0)</f>
        <v>1933.3333333333333</v>
      </c>
    </row>
    <row r="6" spans="1:14" x14ac:dyDescent="0.35">
      <c r="A6" s="3">
        <v>46068</v>
      </c>
      <c r="B6" s="2" t="s">
        <v>22</v>
      </c>
      <c r="C6" s="2" t="s">
        <v>4</v>
      </c>
      <c r="D6" s="2" t="s">
        <v>18</v>
      </c>
      <c r="E6" s="7">
        <v>38200</v>
      </c>
      <c r="F6" s="7">
        <v>24900</v>
      </c>
      <c r="G6" s="7">
        <v>35000</v>
      </c>
      <c r="H6" s="9">
        <v>11</v>
      </c>
      <c r="I6" s="2">
        <v>11</v>
      </c>
      <c r="J6" s="10">
        <f>E6-F6</f>
        <v>13300</v>
      </c>
      <c r="K6" s="4">
        <f>IFERROR(J6/E6,0)</f>
        <v>0.34816753926701571</v>
      </c>
      <c r="L6" s="4">
        <f>IFERROR(E6/G6,0)</f>
        <v>1.0914285714285714</v>
      </c>
      <c r="M6" s="7">
        <f>IFERROR(E6/H6,0)</f>
        <v>3472.7272727272725</v>
      </c>
      <c r="N6" s="7">
        <f>IFERROR(F6/H6,0)</f>
        <v>2263.6363636363635</v>
      </c>
    </row>
    <row r="7" spans="1:14" x14ac:dyDescent="0.35">
      <c r="A7" s="3">
        <v>46068</v>
      </c>
      <c r="B7" s="2" t="s">
        <v>22</v>
      </c>
      <c r="C7" s="2" t="s">
        <v>17</v>
      </c>
      <c r="D7" s="2" t="s">
        <v>20</v>
      </c>
      <c r="E7" s="7">
        <v>27600</v>
      </c>
      <c r="F7" s="7">
        <v>16500</v>
      </c>
      <c r="G7" s="7">
        <v>27000</v>
      </c>
      <c r="H7" s="9">
        <v>13</v>
      </c>
      <c r="I7" s="2">
        <v>7</v>
      </c>
      <c r="J7" s="10">
        <f>E7-F7</f>
        <v>11100</v>
      </c>
      <c r="K7" s="4">
        <f>IFERROR(J7/E7,0)</f>
        <v>0.40217391304347827</v>
      </c>
      <c r="L7" s="4">
        <f>IFERROR(E7/G7,0)</f>
        <v>1.0222222222222221</v>
      </c>
      <c r="M7" s="7">
        <f>IFERROR(E7/H7,0)</f>
        <v>2123.0769230769229</v>
      </c>
      <c r="N7" s="7">
        <f>IFERROR(F7/H7,0)</f>
        <v>1269.2307692307693</v>
      </c>
    </row>
    <row r="8" spans="1:14" x14ac:dyDescent="0.35">
      <c r="A8" s="3">
        <v>46068</v>
      </c>
      <c r="B8" s="2" t="s">
        <v>22</v>
      </c>
      <c r="C8" s="2" t="s">
        <v>19</v>
      </c>
      <c r="D8" s="2" t="s">
        <v>6</v>
      </c>
      <c r="E8" s="7">
        <v>24100</v>
      </c>
      <c r="F8" s="7">
        <v>14800</v>
      </c>
      <c r="G8" s="7">
        <v>25000</v>
      </c>
      <c r="H8" s="9">
        <v>9</v>
      </c>
      <c r="I8" s="2">
        <v>8</v>
      </c>
      <c r="J8" s="10">
        <f>E8-F8</f>
        <v>9300</v>
      </c>
      <c r="K8" s="4">
        <f>IFERROR(J8/E8,0)</f>
        <v>0.38589211618257263</v>
      </c>
      <c r="L8" s="4">
        <f>IFERROR(E8/G8,0)</f>
        <v>0.96399999999999997</v>
      </c>
      <c r="M8" s="7">
        <f>IFERROR(E8/H8,0)</f>
        <v>2677.7777777777778</v>
      </c>
      <c r="N8" s="7">
        <f>IFERROR(F8/H8,0)</f>
        <v>1644.4444444444443</v>
      </c>
    </row>
    <row r="9" spans="1:14" x14ac:dyDescent="0.35">
      <c r="A9" s="3">
        <v>46068</v>
      </c>
      <c r="B9" s="2" t="s">
        <v>22</v>
      </c>
      <c r="C9" s="2" t="s">
        <v>21</v>
      </c>
      <c r="D9" s="2" t="s">
        <v>18</v>
      </c>
      <c r="E9" s="7">
        <v>28300</v>
      </c>
      <c r="F9" s="7">
        <v>20100</v>
      </c>
      <c r="G9" s="7">
        <v>29000</v>
      </c>
      <c r="H9" s="9">
        <v>7</v>
      </c>
      <c r="I9" s="2">
        <v>13</v>
      </c>
      <c r="J9" s="10">
        <f>E9-F9</f>
        <v>8200</v>
      </c>
      <c r="K9" s="4">
        <f>IFERROR(J9/E9,0)</f>
        <v>0.28975265017667845</v>
      </c>
      <c r="L9" s="4">
        <f>IFERROR(E9/G9,0)</f>
        <v>0.97586206896551719</v>
      </c>
      <c r="M9" s="7">
        <f>IFERROR(E9/H9,0)</f>
        <v>4042.8571428571427</v>
      </c>
      <c r="N9" s="7">
        <f>IFERROR(F9/H9,0)</f>
        <v>2871.4285714285716</v>
      </c>
    </row>
    <row r="10" spans="1:14" x14ac:dyDescent="0.35">
      <c r="A10" s="3">
        <v>46096</v>
      </c>
      <c r="B10" s="2" t="s">
        <v>23</v>
      </c>
      <c r="C10" s="2" t="s">
        <v>4</v>
      </c>
      <c r="D10" s="2" t="s">
        <v>20</v>
      </c>
      <c r="E10" s="7">
        <v>36900</v>
      </c>
      <c r="F10" s="7">
        <v>21300</v>
      </c>
      <c r="G10" s="7">
        <v>36000</v>
      </c>
      <c r="H10" s="9">
        <v>15</v>
      </c>
      <c r="I10" s="2">
        <v>6</v>
      </c>
      <c r="J10" s="10">
        <f>E10-F10</f>
        <v>15600</v>
      </c>
      <c r="K10" s="4">
        <f>IFERROR(J10/E10,0)</f>
        <v>0.42276422764227645</v>
      </c>
      <c r="L10" s="4">
        <f>IFERROR(E10/G10,0)</f>
        <v>1.0249999999999999</v>
      </c>
      <c r="M10" s="7">
        <f>IFERROR(E10/H10,0)</f>
        <v>2460</v>
      </c>
      <c r="N10" s="7">
        <f>IFERROR(F10/H10,0)</f>
        <v>1420</v>
      </c>
    </row>
    <row r="11" spans="1:14" x14ac:dyDescent="0.35">
      <c r="A11" s="3">
        <v>46096</v>
      </c>
      <c r="B11" s="2" t="s">
        <v>23</v>
      </c>
      <c r="C11" s="2" t="s">
        <v>17</v>
      </c>
      <c r="D11" s="2" t="s">
        <v>6</v>
      </c>
      <c r="E11" s="7">
        <v>32100</v>
      </c>
      <c r="F11" s="7">
        <v>19800</v>
      </c>
      <c r="G11" s="7">
        <v>30000</v>
      </c>
      <c r="H11" s="9">
        <v>11</v>
      </c>
      <c r="I11" s="2">
        <v>8</v>
      </c>
      <c r="J11" s="10">
        <f>E11-F11</f>
        <v>12300</v>
      </c>
      <c r="K11" s="4">
        <f>IFERROR(J11/E11,0)</f>
        <v>0.38317757009345793</v>
      </c>
      <c r="L11" s="4">
        <f>IFERROR(E11/G11,0)</f>
        <v>1.07</v>
      </c>
      <c r="M11" s="7">
        <f>IFERROR(E11/H11,0)</f>
        <v>2918.181818181818</v>
      </c>
      <c r="N11" s="7">
        <f>IFERROR(F11/H11,0)</f>
        <v>1800</v>
      </c>
    </row>
    <row r="12" spans="1:14" x14ac:dyDescent="0.35">
      <c r="A12" s="3">
        <v>46096</v>
      </c>
      <c r="B12" s="2" t="s">
        <v>23</v>
      </c>
      <c r="C12" s="2" t="s">
        <v>19</v>
      </c>
      <c r="D12" s="2" t="s">
        <v>18</v>
      </c>
      <c r="E12" s="7">
        <v>25900</v>
      </c>
      <c r="F12" s="7">
        <v>18500</v>
      </c>
      <c r="G12" s="7">
        <v>27000</v>
      </c>
      <c r="H12" s="9">
        <v>7</v>
      </c>
      <c r="I12" s="2">
        <v>14</v>
      </c>
      <c r="J12" s="10">
        <f>E12-F12</f>
        <v>7400</v>
      </c>
      <c r="K12" s="4">
        <f>IFERROR(J12/E12,0)</f>
        <v>0.2857142857142857</v>
      </c>
      <c r="L12" s="4">
        <f>IFERROR(E12/G12,0)</f>
        <v>0.95925925925925926</v>
      </c>
      <c r="M12" s="7">
        <f>IFERROR(E12/H12,0)</f>
        <v>3700</v>
      </c>
      <c r="N12" s="7">
        <f>IFERROR(F12/H12,0)</f>
        <v>2642.8571428571427</v>
      </c>
    </row>
    <row r="13" spans="1:14" x14ac:dyDescent="0.35">
      <c r="A13" s="3">
        <v>46096</v>
      </c>
      <c r="B13" s="2" t="s">
        <v>23</v>
      </c>
      <c r="C13" s="2" t="s">
        <v>21</v>
      </c>
      <c r="D13" s="2" t="s">
        <v>20</v>
      </c>
      <c r="E13" s="7">
        <v>23800</v>
      </c>
      <c r="F13" s="7">
        <v>14200</v>
      </c>
      <c r="G13" s="7">
        <v>24000</v>
      </c>
      <c r="H13" s="9">
        <v>10</v>
      </c>
      <c r="I13" s="2">
        <v>7</v>
      </c>
      <c r="J13" s="10">
        <f>E13-F13</f>
        <v>9600</v>
      </c>
      <c r="K13" s="4">
        <f>IFERROR(J13/E13,0)</f>
        <v>0.40336134453781514</v>
      </c>
      <c r="L13" s="4">
        <f>IFERROR(E13/G13,0)</f>
        <v>0.9916666666666667</v>
      </c>
      <c r="M13" s="7">
        <f>IFERROR(E13/H13,0)</f>
        <v>2380</v>
      </c>
      <c r="N13" s="7">
        <f>IFERROR(F13/H13,0)</f>
        <v>1420</v>
      </c>
    </row>
    <row r="14" spans="1:14" x14ac:dyDescent="0.35">
      <c r="A14" s="3">
        <v>46127</v>
      </c>
      <c r="B14" s="2" t="s">
        <v>24</v>
      </c>
      <c r="C14" s="2" t="s">
        <v>4</v>
      </c>
      <c r="D14" s="2" t="s">
        <v>6</v>
      </c>
      <c r="E14" s="7">
        <v>41200</v>
      </c>
      <c r="F14" s="7">
        <v>25100</v>
      </c>
      <c r="G14" s="7">
        <v>39000</v>
      </c>
      <c r="H14" s="9">
        <v>14</v>
      </c>
      <c r="I14" s="2">
        <v>7</v>
      </c>
      <c r="J14" s="10">
        <f>E14-F14</f>
        <v>16100</v>
      </c>
      <c r="K14" s="4">
        <f>IFERROR(J14/E14,0)</f>
        <v>0.39077669902912621</v>
      </c>
      <c r="L14" s="4">
        <f>IFERROR(E14/G14,0)</f>
        <v>1.0564102564102564</v>
      </c>
      <c r="M14" s="7">
        <f>IFERROR(E14/H14,0)</f>
        <v>2942.8571428571427</v>
      </c>
      <c r="N14" s="7">
        <f>IFERROR(F14/H14,0)</f>
        <v>1792.8571428571429</v>
      </c>
    </row>
    <row r="15" spans="1:14" x14ac:dyDescent="0.35">
      <c r="A15" s="3">
        <v>46127</v>
      </c>
      <c r="B15" s="2" t="s">
        <v>24</v>
      </c>
      <c r="C15" s="2" t="s">
        <v>17</v>
      </c>
      <c r="D15" s="2" t="s">
        <v>18</v>
      </c>
      <c r="E15" s="7">
        <v>33500</v>
      </c>
      <c r="F15" s="7">
        <v>23700</v>
      </c>
      <c r="G15" s="7">
        <v>34000</v>
      </c>
      <c r="H15" s="9">
        <v>9</v>
      </c>
      <c r="I15" s="2">
        <v>12</v>
      </c>
      <c r="J15" s="10">
        <f>E15-F15</f>
        <v>9800</v>
      </c>
      <c r="K15" s="4">
        <f>IFERROR(J15/E15,0)</f>
        <v>0.29253731343283584</v>
      </c>
      <c r="L15" s="4">
        <f>IFERROR(E15/G15,0)</f>
        <v>0.98529411764705888</v>
      </c>
      <c r="M15" s="7">
        <f>IFERROR(E15/H15,0)</f>
        <v>3722.2222222222222</v>
      </c>
      <c r="N15" s="7">
        <f>IFERROR(F15/H15,0)</f>
        <v>2633.3333333333335</v>
      </c>
    </row>
    <row r="16" spans="1:14" x14ac:dyDescent="0.35">
      <c r="A16" s="3">
        <v>46127</v>
      </c>
      <c r="B16" s="2" t="s">
        <v>24</v>
      </c>
      <c r="C16" s="2" t="s">
        <v>19</v>
      </c>
      <c r="D16" s="2" t="s">
        <v>20</v>
      </c>
      <c r="E16" s="7">
        <v>26700</v>
      </c>
      <c r="F16" s="7">
        <v>15800</v>
      </c>
      <c r="G16" s="7">
        <v>26000</v>
      </c>
      <c r="H16" s="9">
        <v>12</v>
      </c>
      <c r="I16" s="2">
        <v>6</v>
      </c>
      <c r="J16" s="10">
        <f>E16-F16</f>
        <v>10900</v>
      </c>
      <c r="K16" s="4">
        <f>IFERROR(J16/E16,0)</f>
        <v>0.40823970037453183</v>
      </c>
      <c r="L16" s="4">
        <f>IFERROR(E16/G16,0)</f>
        <v>1.0269230769230768</v>
      </c>
      <c r="M16" s="7">
        <f>IFERROR(E16/H16,0)</f>
        <v>2225</v>
      </c>
      <c r="N16" s="7">
        <f>IFERROR(F16/H16,0)</f>
        <v>1316.6666666666667</v>
      </c>
    </row>
    <row r="17" spans="1:14" x14ac:dyDescent="0.35">
      <c r="A17" s="3">
        <v>46127</v>
      </c>
      <c r="B17" s="2" t="s">
        <v>24</v>
      </c>
      <c r="C17" s="2" t="s">
        <v>21</v>
      </c>
      <c r="D17" s="2" t="s">
        <v>6</v>
      </c>
      <c r="E17" s="7">
        <v>29100</v>
      </c>
      <c r="F17" s="7">
        <v>18100</v>
      </c>
      <c r="G17" s="7">
        <v>28000</v>
      </c>
      <c r="H17" s="9">
        <v>10</v>
      </c>
      <c r="I17" s="2">
        <v>8</v>
      </c>
      <c r="J17" s="10">
        <f>E17-F17</f>
        <v>11000</v>
      </c>
      <c r="K17" s="4">
        <f>IFERROR(J17/E17,0)</f>
        <v>0.37800687285223367</v>
      </c>
      <c r="L17" s="4">
        <f>IFERROR(E17/G17,0)</f>
        <v>1.0392857142857144</v>
      </c>
      <c r="M17" s="7">
        <f>IFERROR(E17/H17,0)</f>
        <v>2910</v>
      </c>
      <c r="N17" s="7">
        <f>IFERROR(F17/H17,0)</f>
        <v>1810</v>
      </c>
    </row>
    <row r="18" spans="1:14" x14ac:dyDescent="0.35">
      <c r="A18" s="3">
        <v>46157</v>
      </c>
      <c r="B18" s="2" t="s">
        <v>25</v>
      </c>
      <c r="C18" s="2" t="s">
        <v>4</v>
      </c>
      <c r="D18" s="2" t="s">
        <v>18</v>
      </c>
      <c r="E18" s="7">
        <v>39800</v>
      </c>
      <c r="F18" s="7">
        <v>27700</v>
      </c>
      <c r="G18" s="7">
        <v>41000</v>
      </c>
      <c r="H18" s="9">
        <v>10</v>
      </c>
      <c r="I18" s="2">
        <v>13</v>
      </c>
      <c r="J18" s="10">
        <f>E18-F18</f>
        <v>12100</v>
      </c>
      <c r="K18" s="4">
        <f>IFERROR(J18/E18,0)</f>
        <v>0.30402010050251255</v>
      </c>
      <c r="L18" s="4">
        <f>IFERROR(E18/G18,0)</f>
        <v>0.97073170731707314</v>
      </c>
      <c r="M18" s="7">
        <f>IFERROR(E18/H18,0)</f>
        <v>3980</v>
      </c>
      <c r="N18" s="7">
        <f>IFERROR(F18/H18,0)</f>
        <v>2770</v>
      </c>
    </row>
    <row r="19" spans="1:14" x14ac:dyDescent="0.35">
      <c r="A19" s="3">
        <v>46157</v>
      </c>
      <c r="B19" s="2" t="s">
        <v>25</v>
      </c>
      <c r="C19" s="2" t="s">
        <v>17</v>
      </c>
      <c r="D19" s="2" t="s">
        <v>20</v>
      </c>
      <c r="E19" s="7">
        <v>34200</v>
      </c>
      <c r="F19" s="7">
        <v>20100</v>
      </c>
      <c r="G19" s="7">
        <v>32000</v>
      </c>
      <c r="H19" s="9">
        <v>14</v>
      </c>
      <c r="I19" s="2">
        <v>6</v>
      </c>
      <c r="J19" s="10">
        <f>E19-F19</f>
        <v>14100</v>
      </c>
      <c r="K19" s="4">
        <f>IFERROR(J19/E19,0)</f>
        <v>0.41228070175438597</v>
      </c>
      <c r="L19" s="4">
        <f>IFERROR(E19/G19,0)</f>
        <v>1.0687500000000001</v>
      </c>
      <c r="M19" s="7">
        <f>IFERROR(E19/H19,0)</f>
        <v>2442.8571428571427</v>
      </c>
      <c r="N19" s="7">
        <f>IFERROR(F19/H19,0)</f>
        <v>1435.7142857142858</v>
      </c>
    </row>
    <row r="20" spans="1:14" x14ac:dyDescent="0.35">
      <c r="A20" s="3">
        <v>46157</v>
      </c>
      <c r="B20" s="2" t="s">
        <v>25</v>
      </c>
      <c r="C20" s="2" t="s">
        <v>19</v>
      </c>
      <c r="D20" s="2" t="s">
        <v>6</v>
      </c>
      <c r="E20" s="7">
        <v>27800</v>
      </c>
      <c r="F20" s="7">
        <v>16900</v>
      </c>
      <c r="G20" s="7">
        <v>28000</v>
      </c>
      <c r="H20" s="9">
        <v>11</v>
      </c>
      <c r="I20" s="2">
        <v>7</v>
      </c>
      <c r="J20" s="10">
        <f>E20-F20</f>
        <v>10900</v>
      </c>
      <c r="K20" s="4">
        <f>IFERROR(J20/E20,0)</f>
        <v>0.3920863309352518</v>
      </c>
      <c r="L20" s="4">
        <f>IFERROR(E20/G20,0)</f>
        <v>0.99285714285714288</v>
      </c>
      <c r="M20" s="7">
        <f>IFERROR(E20/H20,0)</f>
        <v>2527.2727272727275</v>
      </c>
      <c r="N20" s="7">
        <f>IFERROR(F20/H20,0)</f>
        <v>1536.3636363636363</v>
      </c>
    </row>
    <row r="21" spans="1:14" x14ac:dyDescent="0.35">
      <c r="A21" s="3">
        <v>46157</v>
      </c>
      <c r="B21" s="2" t="s">
        <v>25</v>
      </c>
      <c r="C21" s="2" t="s">
        <v>21</v>
      </c>
      <c r="D21" s="2" t="s">
        <v>18</v>
      </c>
      <c r="E21" s="7">
        <v>30600</v>
      </c>
      <c r="F21" s="7">
        <v>21800</v>
      </c>
      <c r="G21" s="7">
        <v>31000</v>
      </c>
      <c r="H21" s="9">
        <v>8</v>
      </c>
      <c r="I21" s="2">
        <v>12</v>
      </c>
      <c r="J21" s="10">
        <f>E21-F21</f>
        <v>8800</v>
      </c>
      <c r="K21" s="4">
        <f>IFERROR(J21/E21,0)</f>
        <v>0.28758169934640521</v>
      </c>
      <c r="L21" s="4">
        <f>IFERROR(E21/G21,0)</f>
        <v>0.98709677419354835</v>
      </c>
      <c r="M21" s="7">
        <f>IFERROR(E21/H21,0)</f>
        <v>3825</v>
      </c>
      <c r="N21" s="7">
        <f>IFERROR(F21/H21,0)</f>
        <v>2725</v>
      </c>
    </row>
    <row r="22" spans="1:14" x14ac:dyDescent="0.35">
      <c r="A22" s="3">
        <v>46188</v>
      </c>
      <c r="B22" s="2" t="s">
        <v>26</v>
      </c>
      <c r="C22" s="2" t="s">
        <v>4</v>
      </c>
      <c r="D22" s="2" t="s">
        <v>20</v>
      </c>
      <c r="E22" s="7">
        <v>43500</v>
      </c>
      <c r="F22" s="7">
        <v>24800</v>
      </c>
      <c r="G22" s="7">
        <v>42000</v>
      </c>
      <c r="H22" s="9">
        <v>17</v>
      </c>
      <c r="I22" s="2">
        <v>5</v>
      </c>
      <c r="J22" s="10">
        <f>E22-F22</f>
        <v>18700</v>
      </c>
      <c r="K22" s="4">
        <f>IFERROR(J22/E22,0)</f>
        <v>0.42988505747126438</v>
      </c>
      <c r="L22" s="4">
        <f>IFERROR(E22/G22,0)</f>
        <v>1.0357142857142858</v>
      </c>
      <c r="M22" s="7">
        <f>IFERROR(E22/H22,0)</f>
        <v>2558.8235294117649</v>
      </c>
      <c r="N22" s="7">
        <f>IFERROR(F22/H22,0)</f>
        <v>1458.8235294117646</v>
      </c>
    </row>
    <row r="23" spans="1:14" x14ac:dyDescent="0.35">
      <c r="A23" s="3">
        <v>46188</v>
      </c>
      <c r="B23" s="2" t="s">
        <v>26</v>
      </c>
      <c r="C23" s="2" t="s">
        <v>17</v>
      </c>
      <c r="D23" s="2" t="s">
        <v>6</v>
      </c>
      <c r="E23" s="7">
        <v>36100</v>
      </c>
      <c r="F23" s="7">
        <v>22100</v>
      </c>
      <c r="G23" s="7">
        <v>35000</v>
      </c>
      <c r="H23" s="9">
        <v>13</v>
      </c>
      <c r="I23" s="2">
        <v>7</v>
      </c>
      <c r="J23" s="10">
        <f>E23-F23</f>
        <v>14000</v>
      </c>
      <c r="K23" s="4">
        <f>IFERROR(J23/E23,0)</f>
        <v>0.38781163434903049</v>
      </c>
      <c r="L23" s="4">
        <f>IFERROR(E23/G23,0)</f>
        <v>1.0314285714285714</v>
      </c>
      <c r="M23" s="7">
        <f>IFERROR(E23/H23,0)</f>
        <v>2776.9230769230771</v>
      </c>
      <c r="N23" s="7">
        <f>IFERROR(F23/H23,0)</f>
        <v>1700</v>
      </c>
    </row>
    <row r="24" spans="1:14" x14ac:dyDescent="0.35">
      <c r="A24" s="3">
        <v>46188</v>
      </c>
      <c r="B24" s="2" t="s">
        <v>26</v>
      </c>
      <c r="C24" s="2" t="s">
        <v>19</v>
      </c>
      <c r="D24" s="2" t="s">
        <v>18</v>
      </c>
      <c r="E24" s="7">
        <v>29400</v>
      </c>
      <c r="F24" s="7">
        <v>20700</v>
      </c>
      <c r="G24" s="7">
        <v>30000</v>
      </c>
      <c r="H24" s="9">
        <v>8</v>
      </c>
      <c r="I24" s="2">
        <v>11</v>
      </c>
      <c r="J24" s="10">
        <f>E24-F24</f>
        <v>8700</v>
      </c>
      <c r="K24" s="4">
        <f>IFERROR(J24/E24,0)</f>
        <v>0.29591836734693877</v>
      </c>
      <c r="L24" s="4">
        <f>IFERROR(E24/G24,0)</f>
        <v>0.98</v>
      </c>
      <c r="M24" s="7">
        <f>IFERROR(E24/H24,0)</f>
        <v>3675</v>
      </c>
      <c r="N24" s="7">
        <f>IFERROR(F24/H24,0)</f>
        <v>2587.5</v>
      </c>
    </row>
    <row r="25" spans="1:14" x14ac:dyDescent="0.35">
      <c r="A25" s="3">
        <v>46188</v>
      </c>
      <c r="B25" s="2" t="s">
        <v>26</v>
      </c>
      <c r="C25" s="2" t="s">
        <v>21</v>
      </c>
      <c r="D25" s="2" t="s">
        <v>20</v>
      </c>
      <c r="E25" s="7">
        <v>27200</v>
      </c>
      <c r="F25" s="7">
        <v>15900</v>
      </c>
      <c r="G25" s="7">
        <v>27000</v>
      </c>
      <c r="H25" s="9">
        <v>12</v>
      </c>
      <c r="I25" s="2">
        <v>6</v>
      </c>
      <c r="J25" s="10">
        <f>E25-F25</f>
        <v>11300</v>
      </c>
      <c r="K25" s="4">
        <f>IFERROR(J25/E25,0)</f>
        <v>0.41544117647058826</v>
      </c>
      <c r="L25" s="4">
        <f>IFERROR(E25/G25,0)</f>
        <v>1.0074074074074073</v>
      </c>
      <c r="M25" s="7">
        <f>IFERROR(E25/H25,0)</f>
        <v>2266.6666666666665</v>
      </c>
      <c r="N25" s="7">
        <f>IFERROR(F25/H25,0)</f>
        <v>1325</v>
      </c>
    </row>
    <row r="26" spans="1:14" x14ac:dyDescent="0.35">
      <c r="A26" s="3">
        <v>46218</v>
      </c>
      <c r="B26" s="2" t="s">
        <v>27</v>
      </c>
      <c r="C26" s="2" t="s">
        <v>4</v>
      </c>
      <c r="D26" s="2" t="s">
        <v>6</v>
      </c>
      <c r="E26" s="7">
        <v>44800</v>
      </c>
      <c r="F26" s="7">
        <v>26900</v>
      </c>
      <c r="G26" s="7">
        <v>43000</v>
      </c>
      <c r="H26" s="9">
        <v>16</v>
      </c>
      <c r="I26" s="2">
        <v>7</v>
      </c>
      <c r="J26" s="10">
        <f>E26-F26</f>
        <v>17900</v>
      </c>
      <c r="K26" s="4">
        <f>IFERROR(J26/E26,0)</f>
        <v>0.39955357142857145</v>
      </c>
      <c r="L26" s="4">
        <f>IFERROR(E26/G26,0)</f>
        <v>1.0418604651162791</v>
      </c>
      <c r="M26" s="7">
        <f>IFERROR(E26/H26,0)</f>
        <v>2800</v>
      </c>
      <c r="N26" s="7">
        <f>IFERROR(F26/H26,0)</f>
        <v>1681.25</v>
      </c>
    </row>
    <row r="27" spans="1:14" x14ac:dyDescent="0.35">
      <c r="A27" s="3">
        <v>46218</v>
      </c>
      <c r="B27" s="2" t="s">
        <v>27</v>
      </c>
      <c r="C27" s="2" t="s">
        <v>17</v>
      </c>
      <c r="D27" s="2" t="s">
        <v>18</v>
      </c>
      <c r="E27" s="7">
        <v>37400</v>
      </c>
      <c r="F27" s="7">
        <v>25600</v>
      </c>
      <c r="G27" s="7">
        <v>38000</v>
      </c>
      <c r="H27" s="9">
        <v>10</v>
      </c>
      <c r="I27" s="2">
        <v>11</v>
      </c>
      <c r="J27" s="10">
        <f>E27-F27</f>
        <v>11800</v>
      </c>
      <c r="K27" s="4">
        <f>IFERROR(J27/E27,0)</f>
        <v>0.31550802139037432</v>
      </c>
      <c r="L27" s="4">
        <f>IFERROR(E27/G27,0)</f>
        <v>0.98421052631578942</v>
      </c>
      <c r="M27" s="7">
        <f>IFERROR(E27/H27,0)</f>
        <v>3740</v>
      </c>
      <c r="N27" s="7">
        <f>IFERROR(F27/H27,0)</f>
        <v>2560</v>
      </c>
    </row>
    <row r="28" spans="1:14" x14ac:dyDescent="0.35">
      <c r="A28" s="3">
        <v>46218</v>
      </c>
      <c r="B28" s="2" t="s">
        <v>27</v>
      </c>
      <c r="C28" s="2" t="s">
        <v>19</v>
      </c>
      <c r="D28" s="2" t="s">
        <v>20</v>
      </c>
      <c r="E28" s="7">
        <v>30100</v>
      </c>
      <c r="F28" s="7">
        <v>17400</v>
      </c>
      <c r="G28" s="7">
        <v>29000</v>
      </c>
      <c r="H28" s="9">
        <v>13</v>
      </c>
      <c r="I28" s="2">
        <v>5</v>
      </c>
      <c r="J28" s="10">
        <f>E28-F28</f>
        <v>12700</v>
      </c>
      <c r="K28" s="4">
        <f>IFERROR(J28/E28,0)</f>
        <v>0.42192691029900331</v>
      </c>
      <c r="L28" s="4">
        <f>IFERROR(E28/G28,0)</f>
        <v>1.0379310344827586</v>
      </c>
      <c r="M28" s="7">
        <f>IFERROR(E28/H28,0)</f>
        <v>2315.3846153846152</v>
      </c>
      <c r="N28" s="7">
        <f>IFERROR(F28/H28,0)</f>
        <v>1338.4615384615386</v>
      </c>
    </row>
    <row r="29" spans="1:14" x14ac:dyDescent="0.35">
      <c r="A29" s="3">
        <v>46218</v>
      </c>
      <c r="B29" s="2" t="s">
        <v>27</v>
      </c>
      <c r="C29" s="2" t="s">
        <v>21</v>
      </c>
      <c r="D29" s="2" t="s">
        <v>6</v>
      </c>
      <c r="E29" s="7">
        <v>31900</v>
      </c>
      <c r="F29" s="7">
        <v>19400</v>
      </c>
      <c r="G29" s="7">
        <v>31000</v>
      </c>
      <c r="H29" s="9">
        <v>11</v>
      </c>
      <c r="I29" s="2">
        <v>8</v>
      </c>
      <c r="J29" s="10">
        <f>E29-F29</f>
        <v>12500</v>
      </c>
      <c r="K29" s="4">
        <f>IFERROR(J29/E29,0)</f>
        <v>0.39184952978056425</v>
      </c>
      <c r="L29" s="4">
        <f>IFERROR(E29/G29,0)</f>
        <v>1.0290322580645161</v>
      </c>
      <c r="M29" s="7">
        <f>IFERROR(E29/H29,0)</f>
        <v>2900</v>
      </c>
      <c r="N29" s="7">
        <f>IFERROR(F29/H29,0)</f>
        <v>1763.6363636363637</v>
      </c>
    </row>
    <row r="30" spans="1:14" x14ac:dyDescent="0.35">
      <c r="A30" s="3">
        <v>46249</v>
      </c>
      <c r="B30" s="2" t="s">
        <v>28</v>
      </c>
      <c r="C30" s="2" t="s">
        <v>4</v>
      </c>
      <c r="D30" s="2" t="s">
        <v>18</v>
      </c>
      <c r="E30" s="7">
        <v>42100</v>
      </c>
      <c r="F30" s="7">
        <v>29200</v>
      </c>
      <c r="G30" s="7">
        <v>44000</v>
      </c>
      <c r="H30" s="9">
        <v>11</v>
      </c>
      <c r="I30" s="2">
        <v>12</v>
      </c>
      <c r="J30" s="10">
        <f>E30-F30</f>
        <v>12900</v>
      </c>
      <c r="K30" s="4">
        <f>IFERROR(J30/E30,0)</f>
        <v>0.30641330166270786</v>
      </c>
      <c r="L30" s="4">
        <f>IFERROR(E30/G30,0)</f>
        <v>0.95681818181818179</v>
      </c>
      <c r="M30" s="7">
        <f>IFERROR(E30/H30,0)</f>
        <v>3827.2727272727275</v>
      </c>
      <c r="N30" s="7">
        <f>IFERROR(F30/H30,0)</f>
        <v>2654.5454545454545</v>
      </c>
    </row>
    <row r="31" spans="1:14" x14ac:dyDescent="0.35">
      <c r="A31" s="3">
        <v>46249</v>
      </c>
      <c r="B31" s="2" t="s">
        <v>28</v>
      </c>
      <c r="C31" s="2" t="s">
        <v>17</v>
      </c>
      <c r="D31" s="2" t="s">
        <v>20</v>
      </c>
      <c r="E31" s="7">
        <v>38900</v>
      </c>
      <c r="F31" s="7">
        <v>22200</v>
      </c>
      <c r="G31" s="7">
        <v>37000</v>
      </c>
      <c r="H31" s="9">
        <v>16</v>
      </c>
      <c r="I31" s="2">
        <v>6</v>
      </c>
      <c r="J31" s="10">
        <f>E31-F31</f>
        <v>16700</v>
      </c>
      <c r="K31" s="4">
        <f>IFERROR(J31/E31,0)</f>
        <v>0.42930591259640105</v>
      </c>
      <c r="L31" s="4">
        <f>IFERROR(E31/G31,0)</f>
        <v>1.0513513513513513</v>
      </c>
      <c r="M31" s="7">
        <f>IFERROR(E31/H31,0)</f>
        <v>2431.25</v>
      </c>
      <c r="N31" s="7">
        <f>IFERROR(F31/H31,0)</f>
        <v>1387.5</v>
      </c>
    </row>
    <row r="32" spans="1:14" x14ac:dyDescent="0.35">
      <c r="A32" s="3">
        <v>46249</v>
      </c>
      <c r="B32" s="2" t="s">
        <v>28</v>
      </c>
      <c r="C32" s="2" t="s">
        <v>19</v>
      </c>
      <c r="D32" s="2" t="s">
        <v>6</v>
      </c>
      <c r="E32" s="7">
        <v>31600</v>
      </c>
      <c r="F32" s="7">
        <v>18900</v>
      </c>
      <c r="G32" s="7">
        <v>31000</v>
      </c>
      <c r="H32" s="9">
        <v>12</v>
      </c>
      <c r="I32" s="2">
        <v>7</v>
      </c>
      <c r="J32" s="10">
        <f>E32-F32</f>
        <v>12700</v>
      </c>
      <c r="K32" s="4">
        <f>IFERROR(J32/E32,0)</f>
        <v>0.40189873417721517</v>
      </c>
      <c r="L32" s="4">
        <f>IFERROR(E32/G32,0)</f>
        <v>1.0193548387096774</v>
      </c>
      <c r="M32" s="7">
        <f>IFERROR(E32/H32,0)</f>
        <v>2633.3333333333335</v>
      </c>
      <c r="N32" s="7">
        <f>IFERROR(F32/H32,0)</f>
        <v>1575</v>
      </c>
    </row>
    <row r="33" spans="1:14" x14ac:dyDescent="0.35">
      <c r="A33" s="3">
        <v>46249</v>
      </c>
      <c r="B33" s="2" t="s">
        <v>28</v>
      </c>
      <c r="C33" s="2" t="s">
        <v>21</v>
      </c>
      <c r="D33" s="2" t="s">
        <v>18</v>
      </c>
      <c r="E33" s="7">
        <v>32800</v>
      </c>
      <c r="F33" s="7">
        <v>23100</v>
      </c>
      <c r="G33" s="7">
        <v>34000</v>
      </c>
      <c r="H33" s="9">
        <v>9</v>
      </c>
      <c r="I33" s="2">
        <v>13</v>
      </c>
      <c r="J33" s="10">
        <f>E33-F33</f>
        <v>9700</v>
      </c>
      <c r="K33" s="4">
        <f>IFERROR(J33/E33,0)</f>
        <v>0.29573170731707316</v>
      </c>
      <c r="L33" s="4">
        <f>IFERROR(E33/G33,0)</f>
        <v>0.96470588235294119</v>
      </c>
      <c r="M33" s="7">
        <f>IFERROR(E33/H33,0)</f>
        <v>3644.4444444444443</v>
      </c>
      <c r="N33" s="7">
        <f>IFERROR(F33/H33,0)</f>
        <v>2566.6666666666665</v>
      </c>
    </row>
    <row r="34" spans="1:14" x14ac:dyDescent="0.35">
      <c r="A34" s="3">
        <v>46280</v>
      </c>
      <c r="B34" s="2" t="s">
        <v>29</v>
      </c>
      <c r="C34" s="2" t="s">
        <v>4</v>
      </c>
      <c r="D34" s="2" t="s">
        <v>20</v>
      </c>
      <c r="E34" s="7">
        <v>46200</v>
      </c>
      <c r="F34" s="7">
        <v>25700</v>
      </c>
      <c r="G34" s="7">
        <v>45000</v>
      </c>
      <c r="H34" s="9">
        <v>18</v>
      </c>
      <c r="I34" s="2">
        <v>5</v>
      </c>
      <c r="J34" s="10">
        <f>E34-F34</f>
        <v>20500</v>
      </c>
      <c r="K34" s="4">
        <f>IFERROR(J34/E34,0)</f>
        <v>0.44372294372294374</v>
      </c>
      <c r="L34" s="4">
        <f>IFERROR(E34/G34,0)</f>
        <v>1.0266666666666666</v>
      </c>
      <c r="M34" s="7">
        <f>IFERROR(E34/H34,0)</f>
        <v>2566.6666666666665</v>
      </c>
      <c r="N34" s="7">
        <f>IFERROR(F34/H34,0)</f>
        <v>1427.7777777777778</v>
      </c>
    </row>
    <row r="35" spans="1:14" x14ac:dyDescent="0.35">
      <c r="A35" s="3">
        <v>46280</v>
      </c>
      <c r="B35" s="2" t="s">
        <v>29</v>
      </c>
      <c r="C35" s="2" t="s">
        <v>17</v>
      </c>
      <c r="D35" s="2" t="s">
        <v>6</v>
      </c>
      <c r="E35" s="7">
        <v>40300</v>
      </c>
      <c r="F35" s="7">
        <v>23800</v>
      </c>
      <c r="G35" s="7">
        <v>39000</v>
      </c>
      <c r="H35" s="9">
        <v>15</v>
      </c>
      <c r="I35" s="2">
        <v>7</v>
      </c>
      <c r="J35" s="10">
        <f>E35-F35</f>
        <v>16500</v>
      </c>
      <c r="K35" s="4">
        <f>IFERROR(J35/E35,0)</f>
        <v>0.40942928039702231</v>
      </c>
      <c r="L35" s="4">
        <f>IFERROR(E35/G35,0)</f>
        <v>1.0333333333333334</v>
      </c>
      <c r="M35" s="7">
        <f>IFERROR(E35/H35,0)</f>
        <v>2686.6666666666665</v>
      </c>
      <c r="N35" s="7">
        <f>IFERROR(F35/H35,0)</f>
        <v>1586.6666666666667</v>
      </c>
    </row>
    <row r="36" spans="1:14" x14ac:dyDescent="0.35">
      <c r="A36" s="3">
        <v>46280</v>
      </c>
      <c r="B36" s="2" t="s">
        <v>29</v>
      </c>
      <c r="C36" s="2" t="s">
        <v>19</v>
      </c>
      <c r="D36" s="2" t="s">
        <v>18</v>
      </c>
      <c r="E36" s="7">
        <v>32900</v>
      </c>
      <c r="F36" s="7">
        <v>22600</v>
      </c>
      <c r="G36" s="7">
        <v>33000</v>
      </c>
      <c r="H36" s="9">
        <v>9</v>
      </c>
      <c r="I36" s="2">
        <v>12</v>
      </c>
      <c r="J36" s="10">
        <f>E36-F36</f>
        <v>10300</v>
      </c>
      <c r="K36" s="4">
        <f>IFERROR(J36/E36,0)</f>
        <v>0.31306990881458968</v>
      </c>
      <c r="L36" s="4">
        <f>IFERROR(E36/G36,0)</f>
        <v>0.99696969696969695</v>
      </c>
      <c r="M36" s="7">
        <f>IFERROR(E36/H36,0)</f>
        <v>3655.5555555555557</v>
      </c>
      <c r="N36" s="7">
        <f>IFERROR(F36/H36,0)</f>
        <v>2511.1111111111113</v>
      </c>
    </row>
    <row r="37" spans="1:14" x14ac:dyDescent="0.35">
      <c r="A37" s="3">
        <v>46280</v>
      </c>
      <c r="B37" s="2" t="s">
        <v>29</v>
      </c>
      <c r="C37" s="2" t="s">
        <v>21</v>
      </c>
      <c r="D37" s="2" t="s">
        <v>20</v>
      </c>
      <c r="E37" s="7">
        <v>30400</v>
      </c>
      <c r="F37" s="7">
        <v>17100</v>
      </c>
      <c r="G37" s="7">
        <v>30000</v>
      </c>
      <c r="H37" s="9">
        <v>14</v>
      </c>
      <c r="I37" s="2">
        <v>6</v>
      </c>
      <c r="J37" s="10">
        <f>E37-F37</f>
        <v>13300</v>
      </c>
      <c r="K37" s="4">
        <f>IFERROR(J37/E37,0)</f>
        <v>0.4375</v>
      </c>
      <c r="L37" s="4">
        <f>IFERROR(E37/G37,0)</f>
        <v>1.0133333333333334</v>
      </c>
      <c r="M37" s="7">
        <f>IFERROR(E37/H37,0)</f>
        <v>2171.4285714285716</v>
      </c>
      <c r="N37" s="7">
        <f>IFERROR(F37/H37,0)</f>
        <v>1221.4285714285713</v>
      </c>
    </row>
    <row r="38" spans="1:14" x14ac:dyDescent="0.35">
      <c r="A38" s="3">
        <v>46310</v>
      </c>
      <c r="B38" s="2" t="s">
        <v>30</v>
      </c>
      <c r="C38" s="2" t="s">
        <v>4</v>
      </c>
      <c r="D38" s="2" t="s">
        <v>6</v>
      </c>
      <c r="E38" s="7">
        <v>47900</v>
      </c>
      <c r="F38" s="7">
        <v>28100</v>
      </c>
      <c r="G38" s="7">
        <v>46000</v>
      </c>
      <c r="H38" s="9">
        <v>17</v>
      </c>
      <c r="I38" s="2">
        <v>6</v>
      </c>
      <c r="J38" s="10">
        <f>E38-F38</f>
        <v>19800</v>
      </c>
      <c r="K38" s="4">
        <f>IFERROR(J38/E38,0)</f>
        <v>0.41336116910229648</v>
      </c>
      <c r="L38" s="4">
        <f>IFERROR(E38/G38,0)</f>
        <v>1.0413043478260871</v>
      </c>
      <c r="M38" s="7">
        <f>IFERROR(E38/H38,0)</f>
        <v>2817.6470588235293</v>
      </c>
      <c r="N38" s="7">
        <f>IFERROR(F38/H38,0)</f>
        <v>1652.9411764705883</v>
      </c>
    </row>
    <row r="39" spans="1:14" x14ac:dyDescent="0.35">
      <c r="A39" s="3">
        <v>46310</v>
      </c>
      <c r="B39" s="2" t="s">
        <v>30</v>
      </c>
      <c r="C39" s="2" t="s">
        <v>17</v>
      </c>
      <c r="D39" s="2" t="s">
        <v>18</v>
      </c>
      <c r="E39" s="7">
        <v>41700</v>
      </c>
      <c r="F39" s="7">
        <v>27900</v>
      </c>
      <c r="G39" s="7">
        <v>42000</v>
      </c>
      <c r="H39" s="9">
        <v>11</v>
      </c>
      <c r="I39" s="2">
        <v>10</v>
      </c>
      <c r="J39" s="10">
        <f>E39-F39</f>
        <v>13800</v>
      </c>
      <c r="K39" s="4">
        <f>IFERROR(J39/E39,0)</f>
        <v>0.33093525179856115</v>
      </c>
      <c r="L39" s="4">
        <f>IFERROR(E39/G39,0)</f>
        <v>0.99285714285714288</v>
      </c>
      <c r="M39" s="7">
        <f>IFERROR(E39/H39,0)</f>
        <v>3790.909090909091</v>
      </c>
      <c r="N39" s="7">
        <f>IFERROR(F39/H39,0)</f>
        <v>2536.3636363636365</v>
      </c>
    </row>
    <row r="40" spans="1:14" x14ac:dyDescent="0.35">
      <c r="A40" s="3">
        <v>46310</v>
      </c>
      <c r="B40" s="2" t="s">
        <v>30</v>
      </c>
      <c r="C40" s="2" t="s">
        <v>19</v>
      </c>
      <c r="D40" s="2" t="s">
        <v>20</v>
      </c>
      <c r="E40" s="7">
        <v>34400</v>
      </c>
      <c r="F40" s="7">
        <v>19300</v>
      </c>
      <c r="G40" s="7">
        <v>33000</v>
      </c>
      <c r="H40" s="9">
        <v>15</v>
      </c>
      <c r="I40" s="2">
        <v>5</v>
      </c>
      <c r="J40" s="10">
        <f>E40-F40</f>
        <v>15100</v>
      </c>
      <c r="K40" s="4">
        <f>IFERROR(J40/E40,0)</f>
        <v>0.43895348837209303</v>
      </c>
      <c r="L40" s="4">
        <f>IFERROR(E40/G40,0)</f>
        <v>1.0424242424242425</v>
      </c>
      <c r="M40" s="7">
        <f>IFERROR(E40/H40,0)</f>
        <v>2293.3333333333335</v>
      </c>
      <c r="N40" s="7">
        <f>IFERROR(F40/H40,0)</f>
        <v>1286.6666666666667</v>
      </c>
    </row>
    <row r="41" spans="1:14" x14ac:dyDescent="0.35">
      <c r="A41" s="3">
        <v>46310</v>
      </c>
      <c r="B41" s="2" t="s">
        <v>30</v>
      </c>
      <c r="C41" s="2" t="s">
        <v>21</v>
      </c>
      <c r="D41" s="2" t="s">
        <v>6</v>
      </c>
      <c r="E41" s="7">
        <v>35600</v>
      </c>
      <c r="F41" s="7">
        <v>20700</v>
      </c>
      <c r="G41" s="7">
        <v>34000</v>
      </c>
      <c r="H41" s="9">
        <v>13</v>
      </c>
      <c r="I41" s="2">
        <v>7</v>
      </c>
      <c r="J41" s="10">
        <f>E41-F41</f>
        <v>14900</v>
      </c>
      <c r="K41" s="4">
        <f>IFERROR(J41/E41,0)</f>
        <v>0.41853932584269665</v>
      </c>
      <c r="L41" s="4">
        <f>IFERROR(E41/G41,0)</f>
        <v>1.0470588235294118</v>
      </c>
      <c r="M41" s="7">
        <f>IFERROR(E41/H41,0)</f>
        <v>2738.4615384615386</v>
      </c>
      <c r="N41" s="7">
        <f>IFERROR(F41/H41,0)</f>
        <v>1592.3076923076924</v>
      </c>
    </row>
    <row r="42" spans="1:14" x14ac:dyDescent="0.35">
      <c r="A42" s="3">
        <v>46341</v>
      </c>
      <c r="B42" s="2" t="s">
        <v>31</v>
      </c>
      <c r="C42" s="2" t="s">
        <v>4</v>
      </c>
      <c r="D42" s="2" t="s">
        <v>18</v>
      </c>
      <c r="E42" s="7">
        <v>45500</v>
      </c>
      <c r="F42" s="7">
        <v>30900</v>
      </c>
      <c r="G42" s="7">
        <v>47000</v>
      </c>
      <c r="H42" s="9">
        <v>12</v>
      </c>
      <c r="I42" s="2">
        <v>11</v>
      </c>
      <c r="J42" s="10">
        <f>E42-F42</f>
        <v>14600</v>
      </c>
      <c r="K42" s="4">
        <f>IFERROR(J42/E42,0)</f>
        <v>0.3208791208791209</v>
      </c>
      <c r="L42" s="4">
        <f>IFERROR(E42/G42,0)</f>
        <v>0.96808510638297873</v>
      </c>
      <c r="M42" s="7">
        <f>IFERROR(E42/H42,0)</f>
        <v>3791.6666666666665</v>
      </c>
      <c r="N42" s="7">
        <f>IFERROR(F42/H42,0)</f>
        <v>2575</v>
      </c>
    </row>
    <row r="43" spans="1:14" x14ac:dyDescent="0.35">
      <c r="A43" s="3">
        <v>46341</v>
      </c>
      <c r="B43" s="2" t="s">
        <v>31</v>
      </c>
      <c r="C43" s="2" t="s">
        <v>17</v>
      </c>
      <c r="D43" s="2" t="s">
        <v>20</v>
      </c>
      <c r="E43" s="7">
        <v>43200</v>
      </c>
      <c r="F43" s="7">
        <v>24100</v>
      </c>
      <c r="G43" s="7">
        <v>41000</v>
      </c>
      <c r="H43" s="9">
        <v>17</v>
      </c>
      <c r="I43" s="2">
        <v>5</v>
      </c>
      <c r="J43" s="10">
        <f>E43-F43</f>
        <v>19100</v>
      </c>
      <c r="K43" s="4">
        <f>IFERROR(J43/E43,0)</f>
        <v>0.44212962962962965</v>
      </c>
      <c r="L43" s="4">
        <f>IFERROR(E43/G43,0)</f>
        <v>1.0536585365853659</v>
      </c>
      <c r="M43" s="7">
        <f>IFERROR(E43/H43,0)</f>
        <v>2541.1764705882351</v>
      </c>
      <c r="N43" s="7">
        <f>IFERROR(F43/H43,0)</f>
        <v>1417.6470588235295</v>
      </c>
    </row>
    <row r="44" spans="1:14" x14ac:dyDescent="0.35">
      <c r="A44" s="3">
        <v>46341</v>
      </c>
      <c r="B44" s="2" t="s">
        <v>31</v>
      </c>
      <c r="C44" s="2" t="s">
        <v>19</v>
      </c>
      <c r="D44" s="2" t="s">
        <v>6</v>
      </c>
      <c r="E44" s="7">
        <v>35800</v>
      </c>
      <c r="F44" s="7">
        <v>21100</v>
      </c>
      <c r="G44" s="7">
        <v>35000</v>
      </c>
      <c r="H44" s="9">
        <v>14</v>
      </c>
      <c r="I44" s="2">
        <v>7</v>
      </c>
      <c r="J44" s="10">
        <f>E44-F44</f>
        <v>14700</v>
      </c>
      <c r="K44" s="4">
        <f>IFERROR(J44/E44,0)</f>
        <v>0.41061452513966479</v>
      </c>
      <c r="L44" s="4">
        <f>IFERROR(E44/G44,0)</f>
        <v>1.0228571428571429</v>
      </c>
      <c r="M44" s="7">
        <f>IFERROR(E44/H44,0)</f>
        <v>2557.1428571428573</v>
      </c>
      <c r="N44" s="7">
        <f>IFERROR(F44/H44,0)</f>
        <v>1507.1428571428571</v>
      </c>
    </row>
    <row r="45" spans="1:14" x14ac:dyDescent="0.35">
      <c r="A45" s="3">
        <v>46341</v>
      </c>
      <c r="B45" s="2" t="s">
        <v>31</v>
      </c>
      <c r="C45" s="2" t="s">
        <v>21</v>
      </c>
      <c r="D45" s="2" t="s">
        <v>18</v>
      </c>
      <c r="E45" s="7">
        <v>36900</v>
      </c>
      <c r="F45" s="7">
        <v>25200</v>
      </c>
      <c r="G45" s="7">
        <v>37000</v>
      </c>
      <c r="H45" s="9">
        <v>10</v>
      </c>
      <c r="I45" s="2">
        <v>12</v>
      </c>
      <c r="J45" s="10">
        <f>E45-F45</f>
        <v>11700</v>
      </c>
      <c r="K45" s="4">
        <f>IFERROR(J45/E45,0)</f>
        <v>0.31707317073170732</v>
      </c>
      <c r="L45" s="4">
        <f>IFERROR(E45/G45,0)</f>
        <v>0.99729729729729732</v>
      </c>
      <c r="M45" s="7">
        <f>IFERROR(E45/H45,0)</f>
        <v>3690</v>
      </c>
      <c r="N45" s="7">
        <f>IFERROR(F45/H45,0)</f>
        <v>2520</v>
      </c>
    </row>
    <row r="46" spans="1:14" x14ac:dyDescent="0.35">
      <c r="A46" s="3">
        <v>46371</v>
      </c>
      <c r="B46" s="2" t="s">
        <v>32</v>
      </c>
      <c r="C46" s="2" t="s">
        <v>4</v>
      </c>
      <c r="D46" s="2" t="s">
        <v>20</v>
      </c>
      <c r="E46" s="7">
        <v>49800</v>
      </c>
      <c r="F46" s="7">
        <v>27300</v>
      </c>
      <c r="G46" s="7">
        <v>48000</v>
      </c>
      <c r="H46" s="9">
        <v>20</v>
      </c>
      <c r="I46" s="2">
        <v>5</v>
      </c>
      <c r="J46" s="10">
        <f>E46-F46</f>
        <v>22500</v>
      </c>
      <c r="K46" s="4">
        <f>IFERROR(J46/E46,0)</f>
        <v>0.45180722891566266</v>
      </c>
      <c r="L46" s="4">
        <f>IFERROR(E46/G46,0)</f>
        <v>1.0375000000000001</v>
      </c>
      <c r="M46" s="7">
        <f>IFERROR(E46/H46,0)</f>
        <v>2490</v>
      </c>
      <c r="N46" s="7">
        <f>IFERROR(F46/H46,0)</f>
        <v>1365</v>
      </c>
    </row>
    <row r="47" spans="1:14" x14ac:dyDescent="0.35">
      <c r="A47" s="3">
        <v>46371</v>
      </c>
      <c r="B47" s="2" t="s">
        <v>32</v>
      </c>
      <c r="C47" s="2" t="s">
        <v>17</v>
      </c>
      <c r="D47" s="2" t="s">
        <v>6</v>
      </c>
      <c r="E47" s="7">
        <v>45100</v>
      </c>
      <c r="F47" s="7">
        <v>25900</v>
      </c>
      <c r="G47" s="7">
        <v>43000</v>
      </c>
      <c r="H47" s="9">
        <v>16</v>
      </c>
      <c r="I47" s="2">
        <v>6</v>
      </c>
      <c r="J47" s="10">
        <f>E47-F47</f>
        <v>19200</v>
      </c>
      <c r="K47" s="4">
        <f>IFERROR(J47/E47,0)</f>
        <v>0.42572062084257206</v>
      </c>
      <c r="L47" s="4">
        <f>IFERROR(E47/G47,0)</f>
        <v>1.0488372093023255</v>
      </c>
      <c r="M47" s="7">
        <f>IFERROR(E47/H47,0)</f>
        <v>2818.75</v>
      </c>
      <c r="N47" s="7">
        <f>IFERROR(F47/H47,0)</f>
        <v>1618.75</v>
      </c>
    </row>
    <row r="48" spans="1:14" x14ac:dyDescent="0.35">
      <c r="A48" s="3">
        <v>46371</v>
      </c>
      <c r="B48" s="2" t="s">
        <v>32</v>
      </c>
      <c r="C48" s="2" t="s">
        <v>19</v>
      </c>
      <c r="D48" s="2" t="s">
        <v>18</v>
      </c>
      <c r="E48" s="7">
        <v>37200</v>
      </c>
      <c r="F48" s="7">
        <v>24800</v>
      </c>
      <c r="G48" s="7">
        <v>38000</v>
      </c>
      <c r="H48" s="9">
        <v>10</v>
      </c>
      <c r="I48" s="2">
        <v>11</v>
      </c>
      <c r="J48" s="10">
        <f>E48-F48</f>
        <v>12400</v>
      </c>
      <c r="K48" s="4">
        <f>IFERROR(J48/E48,0)</f>
        <v>0.33333333333333331</v>
      </c>
      <c r="L48" s="4">
        <f>IFERROR(E48/G48,0)</f>
        <v>0.97894736842105268</v>
      </c>
      <c r="M48" s="7">
        <f>IFERROR(E48/H48,0)</f>
        <v>3720</v>
      </c>
      <c r="N48" s="7">
        <f>IFERROR(F48/H48,0)</f>
        <v>2480</v>
      </c>
    </row>
    <row r="49" spans="1:14" x14ac:dyDescent="0.35">
      <c r="A49" s="3">
        <v>46371</v>
      </c>
      <c r="B49" s="2" t="s">
        <v>32</v>
      </c>
      <c r="C49" s="2" t="s">
        <v>21</v>
      </c>
      <c r="D49" s="2" t="s">
        <v>20</v>
      </c>
      <c r="E49" s="7">
        <v>34800</v>
      </c>
      <c r="F49" s="7">
        <v>19200</v>
      </c>
      <c r="G49" s="7">
        <v>35000</v>
      </c>
      <c r="H49" s="9">
        <v>15</v>
      </c>
      <c r="I49" s="2">
        <v>6</v>
      </c>
      <c r="J49" s="10">
        <f>E49-F49</f>
        <v>15600</v>
      </c>
      <c r="K49" s="4">
        <f>IFERROR(J49/E49,0)</f>
        <v>0.44827586206896552</v>
      </c>
      <c r="L49" s="4">
        <f>IFERROR(E49/G49,0)</f>
        <v>0.99428571428571433</v>
      </c>
      <c r="M49" s="7">
        <f>IFERROR(E49/H49,0)</f>
        <v>2320</v>
      </c>
      <c r="N49" s="7">
        <f>IFERROR(F49/H49,0)</f>
        <v>1280</v>
      </c>
    </row>
  </sheetData>
  <dataValidations count="2">
    <dataValidation type="list" allowBlank="1" showInputMessage="1" showErrorMessage="1" sqref="C1:C49" xr:uid="{D2452B40-B201-497E-9276-A8D3864CBF58}">
      <formula1>"São Paulo,Rio de Janeiro,Belo Horizonte,Salvador"</formula1>
    </dataValidation>
    <dataValidation type="list" allowBlank="1" showInputMessage="1" showErrorMessage="1" sqref="D1:D49" xr:uid="{055990B3-FFF4-4DDB-A127-2BA17C8B003F}">
      <formula1>"Manutenção preventiva,Manutenção corretiva,Inspeção técnica"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F537-7980-4BD7-87DA-A15FC1D95B38}">
  <dimension ref="A1:B14"/>
  <sheetViews>
    <sheetView workbookViewId="0">
      <selection activeCell="A11" sqref="A11"/>
    </sheetView>
  </sheetViews>
  <sheetFormatPr defaultRowHeight="14.5" x14ac:dyDescent="0.35"/>
  <cols>
    <col min="1" max="2" width="30.1796875" bestFit="1" customWidth="1"/>
    <col min="3" max="3" width="26" bestFit="1" customWidth="1"/>
    <col min="4" max="4" width="28.26953125" bestFit="1" customWidth="1"/>
  </cols>
  <sheetData>
    <row r="1" spans="1:2" x14ac:dyDescent="0.35">
      <c r="A1" s="13" t="s">
        <v>58</v>
      </c>
    </row>
    <row r="2" spans="1:2" x14ac:dyDescent="0.35">
      <c r="A2" s="1" t="s">
        <v>35</v>
      </c>
      <c r="B2" s="14">
        <v>1677000</v>
      </c>
    </row>
    <row r="3" spans="1:2" x14ac:dyDescent="0.35">
      <c r="A3" s="1" t="s">
        <v>36</v>
      </c>
      <c r="B3" s="14">
        <v>1043400</v>
      </c>
    </row>
    <row r="4" spans="1:2" x14ac:dyDescent="0.35">
      <c r="A4" s="1" t="s">
        <v>37</v>
      </c>
      <c r="B4" s="14">
        <v>633600</v>
      </c>
    </row>
    <row r="5" spans="1:2" x14ac:dyDescent="0.35">
      <c r="A5" s="1" t="s">
        <v>50</v>
      </c>
      <c r="B5" s="14">
        <v>1650000</v>
      </c>
    </row>
    <row r="6" spans="1:2" x14ac:dyDescent="0.35">
      <c r="A6" s="1" t="s">
        <v>51</v>
      </c>
      <c r="B6" s="15">
        <v>584</v>
      </c>
    </row>
    <row r="8" spans="1:2" x14ac:dyDescent="0.35">
      <c r="A8" t="s">
        <v>59</v>
      </c>
      <c r="B8" s="12">
        <f>GETPIVOTDATA("Soma de Resultado",$A$1)/GETPIVOTDATA("Soma de Faturamento",$A$1)</f>
        <v>0.3778175313059034</v>
      </c>
    </row>
    <row r="9" spans="1:2" x14ac:dyDescent="0.35">
      <c r="A9" t="s">
        <v>60</v>
      </c>
      <c r="B9" s="12">
        <f>GETPIVOTDATA("Soma de Faturamento",$A$1)/GETPIVOTDATA("Soma de Meta de faturamento",$A$1)</f>
        <v>1.0163636363636364</v>
      </c>
    </row>
    <row r="10" spans="1:2" x14ac:dyDescent="0.35">
      <c r="A10" t="str">
        <f>"Faturamento Total "&amp;CHAR(10)&amp;TEXT(B2,"R$ #.##0")</f>
        <v>Faturamento Total 
R$ 1.677.000</v>
      </c>
    </row>
    <row r="11" spans="1:2" x14ac:dyDescent="0.35">
      <c r="A11" t="str">
        <f>"Custo Total "&amp;CHAR(10)&amp;TEXT(B3,"R$ #.##0")</f>
        <v>Custo Total 
R$ 1.043.400</v>
      </c>
    </row>
    <row r="12" spans="1:2" x14ac:dyDescent="0.35">
      <c r="A12" t="str">
        <f>"Resultado "&amp;CHAR(10)&amp;TEXT(GETPIVOTDATA("Soma de Resultado",$A$1),"R$ #.##0")</f>
        <v>Resultado 
R$ 633.600</v>
      </c>
    </row>
    <row r="13" spans="1:2" x14ac:dyDescent="0.35">
      <c r="A13" t="str">
        <f>"Margem "&amp;CHAR(10)&amp;TEXT(GETPIVOTDATA("Soma de Resultado",$A$1)/GETPIVOTDATA("Soma de Faturamento",$A$1),"0,00%")</f>
        <v>Margem 
37,78%</v>
      </c>
    </row>
    <row r="14" spans="1:2" x14ac:dyDescent="0.35">
      <c r="A14" t="str">
        <f>"Meta atingida "&amp;CHAR(10)&amp;TEXT(B2/GETPIVOTDATA("Soma de Meta de faturamento",$A$1),"0,00%")</f>
        <v>Meta atingida 
101,64%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Dinâmica</vt:lpstr>
      <vt:lpstr>Gráficos</vt:lpstr>
      <vt:lpstr>Base</vt:lpstr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Camile Ribeiro</dc:creator>
  <cp:lastModifiedBy>Camile Ribeiro</cp:lastModifiedBy>
  <cp:lastPrinted>2026-09-23T00:48:26Z</cp:lastPrinted>
  <dcterms:created xsi:type="dcterms:W3CDTF">2026-09-22T23:05:47Z</dcterms:created>
  <dcterms:modified xsi:type="dcterms:W3CDTF">2026-09-23T00:56:40Z</dcterms:modified>
</cp:coreProperties>
</file>